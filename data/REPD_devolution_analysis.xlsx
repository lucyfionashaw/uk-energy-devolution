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charts/colors9.xml" ContentType="application/vnd.ms-office.chartcolorstyle+xml"/>
  <Override PartName="/xl/charts/style4.xml" ContentType="application/vnd.ms-office.chartstyle+xml"/>
  <Override PartName="/xl/charts/colors8.xml" ContentType="application/vnd.ms-office.chartcolorstyle+xml"/>
  <Override PartName="/xl/charts/style3.xml" ContentType="application/vnd.ms-office.chartstyle+xml"/>
  <Override PartName="/xl/charts/style2.xml" ContentType="application/vnd.ms-office.chartstyle+xml"/>
  <Override PartName="/xl/charts/style7.xml" ContentType="application/vnd.ms-office.chartstyle+xml"/>
  <Override PartName="/xl/charts/colors6.xml" ContentType="application/vnd.ms-office.chartcolorstyle+xml"/>
  <Override PartName="/xl/charts/chart4.xml" ContentType="application/vnd.openxmlformats-officedocument.drawingml.chart+xml"/>
  <Override PartName="/xl/charts/style10.xml" ContentType="application/vnd.ms-office.chartstyle+xml"/>
  <Override PartName="/xl/charts/style13.xml" ContentType="application/vnd.ms-office.chartstyle+xml"/>
  <Override PartName="/xl/charts/colors2.xml" ContentType="application/vnd.ms-office.chartcolorstyle+xml"/>
  <Override PartName="/xl/charts/colors7.xml" ContentType="application/vnd.ms-office.chartcolorstyle+xml"/>
  <Override PartName="/xl/charts/chart11.xml" ContentType="application/vnd.openxmlformats-officedocument.drawingml.chart+xml"/>
  <Override PartName="/xl/charts/style11.xml" ContentType="application/vnd.ms-office.chartstyle+xml"/>
  <Override PartName="/xl/charts/colors10.xml" ContentType="application/vnd.ms-office.chartcolorstyle+xml"/>
  <Override PartName="/xl/charts/colors12.xml" ContentType="application/vnd.ms-office.chartcolorstyle+xml"/>
  <Override PartName="/xl/charts/colors3.xml" ContentType="application/vnd.ms-office.chartcolorstyle+xml"/>
  <Override PartName="/xl/charts/colors11.xml" ContentType="application/vnd.ms-office.chartcolorstyle+xml"/>
  <Override PartName="/xl/charts/chart13.xml" ContentType="application/vnd.openxmlformats-officedocument.drawingml.chart+xml"/>
  <Override PartName="/xl/charts/style6.xml" ContentType="application/vnd.ms-office.chartstyle+xml"/>
  <Override PartName="/xl/charts/chart9.xml" ContentType="application/vnd.openxmlformats-officedocument.drawingml.chart+xml"/>
  <Override PartName="/xl/charts/colors13.xml" ContentType="application/vnd.ms-office.chartcolorstyle+xml"/>
  <Override PartName="/xl/charts/colors1.xml" ContentType="application/vnd.ms-office.chartcolorstyle+xml"/>
  <Override PartName="/xl/charts/chart7.xml" ContentType="application/vnd.openxmlformats-officedocument.drawingml.chart+xml"/>
  <Override PartName="/xl/charts/style1.xml" ContentType="application/vnd.ms-office.chartstyle+xml"/>
  <Override PartName="/xl/charts/style9.xml" ContentType="application/vnd.ms-office.chartstyle+xml"/>
  <Override PartName="/xl/charts/chart3.xml" ContentType="application/vnd.openxmlformats-officedocument.drawingml.chart+xml"/>
  <Override PartName="/xl/charts/chart6.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style12.xml" ContentType="application/vnd.ms-office.chartstyle+xml"/>
  <Override PartName="/xl/charts/colors4.xml" ContentType="application/vnd.ms-office.chartcolorstyle+xml"/>
  <Override PartName="/xl/charts/chart1.xml" ContentType="application/vnd.openxmlformats-officedocument.drawingml.chart+xml"/>
  <Override PartName="/xl/charts/chart10.xml" ContentType="application/vnd.openxmlformats-officedocument.drawingml.chart+xml"/>
  <Override PartName="/xl/charts/style5.xml" ContentType="application/vnd.ms-office.chartstyle+xml"/>
  <Override PartName="/xl/charts/style8.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Overview" sheetId="2" state="visible" r:id="rId4"/>
    <sheet name="Funnel by technology" sheetId="3" state="visible" r:id="rId5"/>
    <sheet name="Funnel by nation" sheetId="4" state="visible" r:id="rId6"/>
    <sheet name="Durations" sheetId="5" state="visible" r:id="rId7"/>
    <sheet name="Time to decision" sheetId="6" state="visible" r:id="rId8"/>
    <sheet name="Volume vs application wtd" sheetId="7" state="visible" r:id="rId9"/>
    <sheet name="Decided vs awaiting" sheetId="8" state="visible" r:id="rId10"/>
    <sheet name="Solar timing explained" sheetId="9" state="visible" r:id="rId11"/>
    <sheet name="Decision route" sheetId="10" state="visible" r:id="rId12"/>
    <sheet name="Approval trend" sheetId="11" state="visible" r:id="rId13"/>
    <sheet name="Onshore wind by nation" sheetId="12" state="visible" r:id="rId14"/>
    <sheet name="Applications by tech" sheetId="13" state="visible" r:id="rId15"/>
    <sheet name="Decommissioned" sheetId="14" state="visible" r:id="rId16"/>
    <sheet name="Council control method" sheetId="15" state="visible" r:id="rId17"/>
    <sheet name="Outcomes by council party" sheetId="16" state="visible" r:id="rId18"/>
    <sheet name="Onshore wind by council party" sheetId="17" state="visible" r:id="rId19"/>
    <sheet name="Contested vs uncontested" sheetId="18" state="visible" r:id="rId20"/>
    <sheet name="Council vs national" sheetId="19" state="visible" r:id="rId21"/>
    <sheet name="MP party method" sheetId="20" state="visible" r:id="rId22"/>
    <sheet name="Outcomes by MP party" sheetId="21" state="visible" r:id="rId23"/>
    <sheet name="Council vs MP"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<sst xmlns="http://schemas.openxmlformats.org/spreadsheetml/2006/main" count="731" uniqueCount="455">
  <si>
    <t xml:space="preserve">UK Renewable Energy Planning Database — Planning Outcomes &amp; Bottlenecks</t>
  </si>
  <si>
    <t xml:space="preserve">Phase 1 of the devolution analysis · all technologies · Great Britain + Northern Ireland</t>
  </si>
  <si>
    <t xml:space="preserve">Source</t>
  </si>
  <si>
    <t xml:space="preserve">Renewable Energy Planning Database (REPD), DESNZ, Q1 2026 extract (published April 2026). 14,316 project records.</t>
  </si>
  <si>
    <t xml:space="preserve">URL</t>
  </si>
  <si>
    <t xml:space="preserve">https://www.gov.uk/government/publications/renewable-energy-planning-database-quarterly-extract</t>
  </si>
  <si>
    <t xml:space="preserve">Scope</t>
  </si>
  <si>
    <t xml:space="preserve">Every technology and every UK nation in the REPD. Capacity figures are Installed Capacity (MWelec).</t>
  </si>
  <si>
    <t xml:space="preserve">WHAT THIS WORKBOOK COVERS</t>
  </si>
  <si>
    <t xml:space="preserve">The planning 'stage-gate' journey: applied -&gt; approved -&gt; under construction -&gt; operational, plus the ways projects die (refused, withdrawn, abandoned, expired) or stall (still in planning). Cut by technology, nation and year.</t>
  </si>
  <si>
    <t xml:space="preserve">KEY DEFINITIONS</t>
  </si>
  <si>
    <t xml:space="preserve">Ever granted</t>
  </si>
  <si>
    <t xml:space="preserve">Project has a Planning Permission Granted date OR a current status of Awaiting Construction / Under Construction / Operational / Expired / Decommissioned. Counts anything that ever secured consent.</t>
  </si>
  <si>
    <t xml:space="preserve">Ever built</t>
  </si>
  <si>
    <t xml:space="preserve">Has an Under Construction date OR status of Under Construction / Operational / Decommissioned.</t>
  </si>
  <si>
    <t xml:space="preserve">Operational</t>
  </si>
  <si>
    <t xml:space="preserve">Has an Operational date OR status Operational / Decommissioned.</t>
  </si>
  <si>
    <t xml:space="preserve">Refused</t>
  </si>
  <si>
    <t xml:space="preserve">Current status Application Refused, Appeal Refused or Secretary of State Refusal.</t>
  </si>
  <si>
    <t xml:space="preserve">Withdrawn</t>
  </si>
  <si>
    <t xml:space="preserve">Sponsor withdrew the application (or the appeal).</t>
  </si>
  <si>
    <t xml:space="preserve">Abandoned</t>
  </si>
  <si>
    <t xml:space="preserve">Project recorded as abandoned by the developer.</t>
  </si>
  <si>
    <t xml:space="preserve">Pending</t>
  </si>
  <si>
    <t xml:space="preserve">Still in the system: status Application Submitted or Appeal Lodged (i.e. no decision yet).</t>
  </si>
  <si>
    <t xml:space="preserve">Approval rate</t>
  </si>
  <si>
    <t xml:space="preserve">Ever granted / (ever granted + refused). Excludes withdrawn/abandoned/pending from the denominator.</t>
  </si>
  <si>
    <t xml:space="preserve">National route</t>
  </si>
  <si>
    <t xml:space="preserve">Consenting authority is a national/strategic body (S36 / NSIP / Planning Inspectorate / Marine Scotland / MMO / devolved ministers) rather than a local council. Proxy for 'decided above the local level'.</t>
  </si>
  <si>
    <t xml:space="preserve">CAVEATS</t>
  </si>
  <si>
    <t xml:space="preserve">Survivorship</t>
  </si>
  <si>
    <t xml:space="preserve">Median durations are for projects that REACHED a given gate. They understate true delay because stalled/dead projects never get an end date.</t>
  </si>
  <si>
    <t xml:space="preserve">Snapshot</t>
  </si>
  <si>
    <t xml:space="preserve">REPD is a living register; statuses reflect the Q1 2026 extract and are periodically revised. Minor data-entry inconsistencies in status labels were normalised.</t>
  </si>
  <si>
    <t xml:space="preserve">Approval-rate trend</t>
  </si>
  <si>
    <t xml:space="preserve">Post-2018 the apparent approval rate rises partly because hostile English onshore-wind applications stopped being submitted (see 'Onshore wind by nation').</t>
  </si>
  <si>
    <t xml:space="preserve">STATUS</t>
  </si>
  <si>
    <t xml:space="preserve">Phase 1 (REPD only). Phase 2 will join local-authority political control + MP party at decision date; Phase 3 will join the DESNZ/LCCC Contracts for Difference register.</t>
  </si>
  <si>
    <t xml:space="preserve">DATA-INTEGRITY NOTES (added)</t>
  </si>
  <si>
    <t xml:space="preserve">Full file vs preview</t>
  </si>
  <si>
    <t xml:space="preserve">The downloadable CSV is the COMPLETE database (14,316 rows). The gov.uk on-page preview shows only ~200 rows ('subset'); the file itself is not a subset.</t>
  </si>
  <si>
    <t xml:space="preserve">Withdrawn rows retained</t>
  </si>
  <si>
    <t xml:space="preserve">DESNZ does not delete withdrawn/refused/abandoned projects - all are present. Bias runs the other way: data is 'sourced mostly from web and developers', so dead projects may linger un-updated.</t>
  </si>
  <si>
    <t xml:space="preserve">150kW threshold</t>
  </si>
  <si>
    <t xml:space="preserve">Minimum capacity 1MW until 2021, then 150kW. Sub-1MW projects in planning before 2021 are largely absent - relevant to solar counts/timings.</t>
  </si>
  <si>
    <t xml:space="preserve">Stuck = maybe stale</t>
  </si>
  <si>
    <t xml:space="preserve">Some 'pending 5+ years' projects are likely abandoned-but-not-updated rather than genuinely awaiting a decision.</t>
  </si>
  <si>
    <t xml:space="preserve">Manager</t>
  </si>
  <si>
    <t xml:space="preserve">Barbour ABI manages REPD for DESNZ; snapshot updated the month after each quarter-end.</t>
  </si>
  <si>
    <t xml:space="preserve">Overview — the national picture</t>
  </si>
  <si>
    <t xml:space="preserve">Counts are project records; capacity is MW (GW = MW/1000).</t>
  </si>
  <si>
    <t xml:space="preserve">Stage / outcome</t>
  </si>
  <si>
    <t xml:space="preserve">Projects</t>
  </si>
  <si>
    <t xml:space="preserve">Capacity (MW)</t>
  </si>
  <si>
    <t xml:space="preserve">Capacity (GW)</t>
  </si>
  <si>
    <t xml:space="preserve">% of all projects</t>
  </si>
  <si>
    <t xml:space="preserve">Applied (all records)</t>
  </si>
  <si>
    <t xml:space="preserve">Ever granted consent</t>
  </si>
  <si>
    <t xml:space="preserve">Ever started construction</t>
  </si>
  <si>
    <t xml:space="preserve">Decommissioned</t>
  </si>
  <si>
    <t xml:space="preserve">Withdrawn by sponsor</t>
  </si>
  <si>
    <t xml:space="preserve">Consent expired (lapsed)</t>
  </si>
  <si>
    <t xml:space="preserve">Still pending a decision</t>
  </si>
  <si>
    <t xml:space="preserve">Key takeaways</t>
  </si>
  <si>
    <t xml:space="preserve">Headline approval rate</t>
  </si>
  <si>
    <t xml:space="preserve">89.2%</t>
  </si>
  <si>
    <t xml:space="preserve">of decided projects are granted — refusal is NOT the main blocker</t>
  </si>
  <si>
    <t xml:space="preserve">Consented but not yet built</t>
  </si>
  <si>
    <t xml:space="preserve">154 GW</t>
  </si>
  <si>
    <t xml:space="preserve">6,424 projects hold consent but have not started construction</t>
  </si>
  <si>
    <t xml:space="preserve">Stuck in the queue</t>
  </si>
  <si>
    <t xml:space="preserve">88.5 GW</t>
  </si>
  <si>
    <t xml:space="preserve">1,689 projects awaiting a planning decision</t>
  </si>
  <si>
    <t xml:space="preserve">Routed above local level</t>
  </si>
  <si>
    <t xml:space="preserve">6.4%</t>
  </si>
  <si>
    <t xml:space="preserve">of all projects are consented nationally, not by a council</t>
  </si>
  <si>
    <t xml:space="preserve">How long pending projects have been waiting</t>
  </si>
  <si>
    <t xml:space="preserve">Wait band</t>
  </si>
  <si>
    <t xml:space="preserve">&lt;1 yr</t>
  </si>
  <si>
    <t xml:space="preserve">1-2 yrs</t>
  </si>
  <si>
    <t xml:space="preserve">2-3 yrs</t>
  </si>
  <si>
    <t xml:space="preserve">3-5 yrs</t>
  </si>
  <si>
    <t xml:space="preserve">5+ yrs</t>
  </si>
  <si>
    <t xml:space="preserve">Funnel by technology</t>
  </si>
  <si>
    <t xml:space="preserve">Counts = project records. Capacity = MW. Approval rate &amp; built rate are Excel formulas.</t>
  </si>
  <si>
    <t xml:space="preserve">Technology</t>
  </si>
  <si>
    <t xml:space="preserve">Granted cap (MW)</t>
  </si>
  <si>
    <t xml:space="preserve">Built cap (MW)</t>
  </si>
  <si>
    <t xml:space="preserve">Expired</t>
  </si>
  <si>
    <t xml:space="preserve">Pending cap (MW)</t>
  </si>
  <si>
    <t xml:space="preserve">Decom.</t>
  </si>
  <si>
    <t xml:space="preserve">National %</t>
  </si>
  <si>
    <t xml:space="preserve">Built/consented</t>
  </si>
  <si>
    <t xml:space="preserve">Solar Photovoltaics</t>
  </si>
  <si>
    <t xml:space="preserve">Wind Onshore</t>
  </si>
  <si>
    <t xml:space="preserve">Battery</t>
  </si>
  <si>
    <t xml:space="preserve">Anaerobic Digestion</t>
  </si>
  <si>
    <t xml:space="preserve">Landfill Gas</t>
  </si>
  <si>
    <t xml:space="preserve">Biomass (dedicated)</t>
  </si>
  <si>
    <t xml:space="preserve">EfW Incineration</t>
  </si>
  <si>
    <t xml:space="preserve">Small Hydro</t>
  </si>
  <si>
    <t xml:space="preserve">Advanced Conversion Technologies</t>
  </si>
  <si>
    <t xml:space="preserve">Wind Offshore</t>
  </si>
  <si>
    <t xml:space="preserve">Hydrogen</t>
  </si>
  <si>
    <t xml:space="preserve">Large Hydro</t>
  </si>
  <si>
    <t xml:space="preserve">Tidal Stream</t>
  </si>
  <si>
    <t xml:space="preserve">Pumped Storage Hydroelectricity</t>
  </si>
  <si>
    <t xml:space="preserve">Sewage Sludge Digestion</t>
  </si>
  <si>
    <t xml:space="preserve">Shoreline Wave</t>
  </si>
  <si>
    <t xml:space="preserve">Geothermal</t>
  </si>
  <si>
    <t xml:space="preserve">Biomass (co-firing)</t>
  </si>
  <si>
    <t xml:space="preserve">Liquid Air Energy Storage</t>
  </si>
  <si>
    <t xml:space="preserve">Fuel Cell (Hydrogen)</t>
  </si>
  <si>
    <t xml:space="preserve">Hot Dry Rocks (HDR)</t>
  </si>
  <si>
    <t xml:space="preserve">Compressed Air Energy Storage</t>
  </si>
  <si>
    <t xml:space="preserve">Unknown</t>
  </si>
  <si>
    <t xml:space="preserve">Tidal Lagoon</t>
  </si>
  <si>
    <t xml:space="preserve">Flywheels</t>
  </si>
  <si>
    <t xml:space="preserve">Funnel by nation</t>
  </si>
  <si>
    <t xml:space="preserve">Nation</t>
  </si>
  <si>
    <t xml:space="preserve">England</t>
  </si>
  <si>
    <t xml:space="preserve">Scotland</t>
  </si>
  <si>
    <t xml:space="preserve">Wales</t>
  </si>
  <si>
    <t xml:space="preserve">Northern Ireland</t>
  </si>
  <si>
    <t xml:space="preserve">Time through the pipeline (median months)</t>
  </si>
  <si>
    <t xml:space="preserve">Survivor-based: only projects that reached each gate. Years column = total app-&gt;operational.</t>
  </si>
  <si>
    <t xml:space="preserve">n (granted)</t>
  </si>
  <si>
    <t xml:space="preserve">App -&gt; Granted</t>
  </si>
  <si>
    <t xml:space="preserve">Granted -&gt; Construction</t>
  </si>
  <si>
    <t xml:space="preserve">Construction -&gt; Operational</t>
  </si>
  <si>
    <t xml:space="preserve">App -&gt; Operational (months)</t>
  </si>
  <si>
    <t xml:space="preserve">App -&gt; Operational (years)</t>
  </si>
  <si>
    <t xml:space="preserve">Time to a planning decision — approvals AND refusals</t>
  </si>
  <si>
    <t xml:space="preserve">Median months, application to first decision. Refusals also consume time; survivor-based.</t>
  </si>
  <si>
    <t xml:space="preserve">Granted: n</t>
  </si>
  <si>
    <t xml:space="preserve">Granted: median months</t>
  </si>
  <si>
    <t xml:space="preserve">Refused: n</t>
  </si>
  <si>
    <t xml:space="preserve">Refused: median months</t>
  </si>
  <si>
    <t xml:space="preserve">Onshore wind takes a median 12.4 months even to be REFUSED (882 cases) — substantial runway spent on projects that fail.</t>
  </si>
  <si>
    <t xml:space="preserve">Volume-weighted vs application-weighted timing</t>
  </si>
  <si>
    <t xml:space="preserve">Median months, application to consent. Count-weighted treats every project equally; capacity-weighted weights by MW.</t>
  </si>
  <si>
    <t xml:space="preserve">By project count (months)</t>
  </si>
  <si>
    <t xml:space="preserve">By capacity / MW (months)</t>
  </si>
  <si>
    <t xml:space="preserve">Slowdown x</t>
  </si>
  <si>
    <t xml:space="preserve">Solar PV</t>
  </si>
  <si>
    <t xml:space="preserve">Onshore wind</t>
  </si>
  <si>
    <t xml:space="preserve">Offshore wind</t>
  </si>
  <si>
    <t xml:space="preserve">All technologies</t>
  </si>
  <si>
    <t xml:space="preserve">Most PROJECTS are small and fast; most MEGAWATTS sit in large, slow schemes. Solar's 2.3-month headline becomes 9.7 months once weighted by capacity; all-tech 3.8 -&gt; 14.4.</t>
  </si>
  <si>
    <t xml:space="preserve">Solar: time to consent by project size (the 50MW NSIP cliff)</t>
  </si>
  <si>
    <t xml:space="preserve">Capacity band</t>
  </si>
  <si>
    <t xml:space="preserve">Median months</t>
  </si>
  <si>
    <t xml:space="preserve">Total capacity (MW)</t>
  </si>
  <si>
    <t xml:space="preserve">0-1 MW</t>
  </si>
  <si>
    <t xml:space="preserve">1-5</t>
  </si>
  <si>
    <t xml:space="preserve">5-10</t>
  </si>
  <si>
    <t xml:space="preserve">10-20</t>
  </si>
  <si>
    <t xml:space="preserve">20-30</t>
  </si>
  <si>
    <t xml:space="preserve">30-40</t>
  </si>
  <si>
    <t xml:space="preserve">40-49.5</t>
  </si>
  <si>
    <t xml:space="preserve">49.5-50</t>
  </si>
  <si>
    <t xml:space="preserve">50-75</t>
  </si>
  <si>
    <t xml:space="preserve">75-150</t>
  </si>
  <si>
    <t xml:space="preserve">150+ (NSIP)</t>
  </si>
  <si>
    <t xml:space="preserve">Threshold gaming: solar projects bunch just under 50MW to stay in the local route</t>
  </si>
  <si>
    <t xml:space="preserve">Solar projects</t>
  </si>
  <si>
    <t xml:space="preserve">40-45 MW</t>
  </si>
  <si>
    <t xml:space="preserve">45-49.99 MW</t>
  </si>
  <si>
    <t xml:space="preserve">50.00-55 MW</t>
  </si>
  <si>
    <t xml:space="preserve">209 solar projects sit at 45-49.99MW vs just 5 at 50-55MW: developers size at 49.9MW to avoid the &gt;50MW Nationally Significant Infrastructure Project (DCO) route.</t>
  </si>
  <si>
    <t xml:space="preserve">Decided vs still-awaiting a decision</t>
  </si>
  <si>
    <t xml:space="preserve">Of 14,316 records, those with a recorded grant/refusal date vs none. Pending split by 'reasonableness' of the wait.</t>
  </si>
  <si>
    <t xml:space="preserve">Has a recorded planning decision?</t>
  </si>
  <si>
    <t xml:space="preserve">Genuinely-pending projects: how long they have waited</t>
  </si>
  <si>
    <t xml:space="preserve">With grant/refusal date</t>
  </si>
  <si>
    <t xml:space="preserve">Wait since submission</t>
  </si>
  <si>
    <t xml:space="preserve">No decision date yet</t>
  </si>
  <si>
    <t xml:space="preserve">&lt;4 mo (within statutory)</t>
  </si>
  <si>
    <t xml:space="preserve">Total</t>
  </si>
  <si>
    <t xml:space="preserve">4-12 mo</t>
  </si>
  <si>
    <t xml:space="preserve">Where 'no decision date' records sit (current status)</t>
  </si>
  <si>
    <t xml:space="preserve">Current status</t>
  </si>
  <si>
    <t xml:space="preserve">Records</t>
  </si>
  <si>
    <t xml:space="preserve">Application Submitted</t>
  </si>
  <si>
    <t xml:space="preserve">Application Withdrawn</t>
  </si>
  <si>
    <t xml:space="preserve">Revised</t>
  </si>
  <si>
    <t xml:space="preserve">Statutory determination: ~8 weeks (minor), ~13-16 weeks (major/EIA). Only ~308 projects are within that window; ~878 (&gt;1yr) are genuinely overdue.</t>
  </si>
  <si>
    <t xml:space="preserve">Under Construction</t>
  </si>
  <si>
    <t xml:space="preserve">Planning Permission Expired</t>
  </si>
  <si>
    <t xml:space="preserve">Appeal Refused</t>
  </si>
  <si>
    <t xml:space="preserve">No Application Required</t>
  </si>
  <si>
    <t xml:space="preserve">Appeal Withdrawn</t>
  </si>
  <si>
    <t xml:space="preserve">Awaiting Construction</t>
  </si>
  <si>
    <t xml:space="preserve">Application Refused</t>
  </si>
  <si>
    <t xml:space="preserve">Appeal Lodged</t>
  </si>
  <si>
    <t xml:space="preserve">Note: 'Operational'/'Under Construction' with no grant date are data gaps, not genuinely undecided. Genuinely awaiting = 'Application Submitted' (1,673) + 'Appeal Lodged'.</t>
  </si>
  <si>
    <t xml:space="preserve">'Withdrawn'/'Abandoned'/'Revised' with no decision = projects that exited before any decision.</t>
  </si>
  <si>
    <t xml:space="preserve">Why solar's median is just 2.3 months</t>
  </si>
  <si>
    <t xml:space="preserve">It is genuine application-to-permission time, but a size-mix effect: most solar is small and fast.</t>
  </si>
  <si>
    <t xml:space="preserve">Median app-&gt;grant by project size</t>
  </si>
  <si>
    <t xml:space="preserve">&lt;1MW</t>
  </si>
  <si>
    <t xml:space="preserve">1-5MW</t>
  </si>
  <si>
    <t xml:space="preserve">5-50MW</t>
  </si>
  <si>
    <t xml:space="preserve">50MW+</t>
  </si>
  <si>
    <t xml:space="preserve">60.8% of solar decided within 3 months; 79.9% within 6; only 3.3% in under 1 month (so not a same-date data artifact).</t>
  </si>
  <si>
    <t xml:space="preserve">Large 50MW+ solar (NSIP route) takes ~16 months — the same order as onshore wind. The 2.3mo headline is dominated by 3,000 sub-1MW schemes.</t>
  </si>
  <si>
    <t xml:space="preserve">Sample pipeline (illustrative records, small -&gt; large)</t>
  </si>
  <si>
    <t xml:space="preserve">Site</t>
  </si>
  <si>
    <t xml:space="preserve">Planning authority</t>
  </si>
  <si>
    <t xml:space="preserve">Submitted</t>
  </si>
  <si>
    <t xml:space="preserve">Granted</t>
  </si>
  <si>
    <t xml:space="preserve">Months</t>
  </si>
  <si>
    <t xml:space="preserve">Michelin Tyres (rooftop)</t>
  </si>
  <si>
    <t xml:space="preserve">Dundee City</t>
  </si>
  <si>
    <t xml:space="preserve">05/02/2016</t>
  </si>
  <si>
    <t xml:space="preserve">31/03/2016</t>
  </si>
  <si>
    <t xml:space="preserve">Bromfield Sand and Gravel</t>
  </si>
  <si>
    <t xml:space="preserve">Shropshire</t>
  </si>
  <si>
    <t xml:space="preserve">09/02/2015</t>
  </si>
  <si>
    <t xml:space="preserve">25/06/2015</t>
  </si>
  <si>
    <t xml:space="preserve">East Langford Farm</t>
  </si>
  <si>
    <t xml:space="preserve">Cornwall</t>
  </si>
  <si>
    <t xml:space="preserve">12/02/2011</t>
  </si>
  <si>
    <t xml:space="preserve">18/04/2011</t>
  </si>
  <si>
    <t xml:space="preserve">Sycamore Farm</t>
  </si>
  <si>
    <t xml:space="preserve">Folkestone and Hythe</t>
  </si>
  <si>
    <t xml:space="preserve">08/10/2012</t>
  </si>
  <si>
    <t xml:space="preserve">17/01/2013</t>
  </si>
  <si>
    <t xml:space="preserve">Eveley Farm</t>
  </si>
  <si>
    <t xml:space="preserve">Test Valley</t>
  </si>
  <si>
    <t xml:space="preserve">16/02/2015</t>
  </si>
  <si>
    <t xml:space="preserve">27/07/2015</t>
  </si>
  <si>
    <t xml:space="preserve">Little Crow Solar Park</t>
  </si>
  <si>
    <t xml:space="preserve">Planning Inspectorate (NSIP)</t>
  </si>
  <si>
    <t xml:space="preserve">04/12/2020</t>
  </si>
  <si>
    <t xml:space="preserve">05/04/2022</t>
  </si>
  <si>
    <t xml:space="preserve">Mallard Pass Solar Farm</t>
  </si>
  <si>
    <t xml:space="preserve">24/11/2022</t>
  </si>
  <si>
    <t xml:space="preserve">12/07/2024</t>
  </si>
  <si>
    <t xml:space="preserve">Local vs national consenting route</t>
  </si>
  <si>
    <t xml:space="preserve">National = S36 / NSIP / Planning Inspectorate / Marine Scotland / MMO / devolved ministers.</t>
  </si>
  <si>
    <t xml:space="preserve">By nation</t>
  </si>
  <si>
    <t xml:space="preserve">Local</t>
  </si>
  <si>
    <t xml:space="preserve">National</t>
  </si>
  <si>
    <t xml:space="preserve">By technology</t>
  </si>
  <si>
    <t xml:space="preserve">Approval rate by year of decision</t>
  </si>
  <si>
    <t xml:space="preserve">All technologies vs onshore wind. Note: post-2018 the all-tech rate rises as solar/battery volume dominates.</t>
  </si>
  <si>
    <t xml:space="preserve">Year</t>
  </si>
  <si>
    <t xml:space="preserve">All: granted</t>
  </si>
  <si>
    <t xml:space="preserve">All: refused</t>
  </si>
  <si>
    <t xml:space="preserve">All approval %</t>
  </si>
  <si>
    <t xml:space="preserve">Onshore granted</t>
  </si>
  <si>
    <t xml:space="preserve">Onshore refused</t>
  </si>
  <si>
    <t xml:space="preserve">Onshore approval %</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</si>
  <si>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</si>
  <si>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</si>
  <si>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</si>
  <si>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</si>
  <si>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</si>
  <si>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</si>
  <si>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</si>
  <si>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</si>
  <si>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</si>
  <si>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</si>
  <si>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</si>
  <si>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</si>
  <si>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</si>
  <si>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</si>
  <si>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</si>
  <si>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</si>
  <si>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</si>
  <si>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</si>
  <si>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</si>
  <si>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Onshore wind applications submitted, by nation</t>
  </si>
  <si>
    <t xml:space="preserve">The natural experiment: England's 2015 NPPF veto vs devolved Scotland/Wales/NI.</t>
  </si>
  <si>
    <t xml:space="preserve">2015: NPPF 'local veto' footnote introduced (June 2015). England applications collapse the following year while Scotland continues.</t>
  </si>
  <si>
    <t xml:space="preserve">Applications submitted per year, by technology</t>
  </si>
  <si>
    <t xml:space="preserve">The shift from onshore wind (2008-15) to the solar + battery surge (2021-).</t>
  </si>
  <si>
    <t xml:space="preserve">Solar</t>
  </si>
  <si>
    <t xml:space="preserve">Decommissioned projects</t>
  </si>
  <si>
    <t xml:space="preserve">32 records in total (incl. several EMEC tidal/wave test devices); principal sites listed.</t>
  </si>
  <si>
    <t xml:space="preserve">REPD Ref</t>
  </si>
  <si>
    <t xml:space="preserve">Operator</t>
  </si>
  <si>
    <t xml:space="preserve">1</t>
  </si>
  <si>
    <t xml:space="preserve">Aberthaw Power Station Biomass</t>
  </si>
  <si>
    <t xml:space="preserve">RWE npower</t>
  </si>
  <si>
    <t xml:space="preserve">Vale of Glamorgan</t>
  </si>
  <si>
    <t xml:space="preserve">125</t>
  </si>
  <si>
    <t xml:space="preserve">Ironbridge Power Station</t>
  </si>
  <si>
    <t xml:space="preserve">E.ON UK</t>
  </si>
  <si>
    <t xml:space="preserve">677</t>
  </si>
  <si>
    <t xml:space="preserve">Welford Landfill Site</t>
  </si>
  <si>
    <t xml:space="preserve">Biffa</t>
  </si>
  <si>
    <t xml:space="preserve">West Northamptonshire</t>
  </si>
  <si>
    <t xml:space="preserve">789</t>
  </si>
  <si>
    <t xml:space="preserve">Kilgarth</t>
  </si>
  <si>
    <t xml:space="preserve">Combined Landfill Projects (CLP)</t>
  </si>
  <si>
    <t xml:space="preserve">North Lanarkshire</t>
  </si>
  <si>
    <t xml:space="preserve">916</t>
  </si>
  <si>
    <t xml:space="preserve">Canford</t>
  </si>
  <si>
    <t xml:space="preserve">New Earth Energy</t>
  </si>
  <si>
    <t xml:space="preserve">Bournemouth, Christchurch and Poole</t>
  </si>
  <si>
    <t xml:space="preserve">966</t>
  </si>
  <si>
    <t xml:space="preserve">Crymlyn Burrows EfW Incinerator</t>
  </si>
  <si>
    <t xml:space="preserve">E R I Neath Port Talbot</t>
  </si>
  <si>
    <t xml:space="preserve">Neath Port Talbot</t>
  </si>
  <si>
    <t xml:space="preserve">993</t>
  </si>
  <si>
    <t xml:space="preserve">Dargavel</t>
  </si>
  <si>
    <t xml:space="preserve">SCOTGEN / Batneec (Dumfries) (Compact Power)</t>
  </si>
  <si>
    <t xml:space="preserve">Dumfries and Galloway</t>
  </si>
  <si>
    <t xml:space="preserve">2397</t>
  </si>
  <si>
    <t xml:space="preserve">AR-1000 (FoW - EMEC)</t>
  </si>
  <si>
    <t xml:space="preserve">Atlantic Resource</t>
  </si>
  <si>
    <t xml:space="preserve">Scottish Government (S36)</t>
  </si>
  <si>
    <t xml:space="preserve">2403</t>
  </si>
  <si>
    <t xml:space="preserve">SeaGen Tidal Farm</t>
  </si>
  <si>
    <t xml:space="preserve">Marine Current Turbines (MCT)</t>
  </si>
  <si>
    <t xml:space="preserve">Newry, Mourne and Down</t>
  </si>
  <si>
    <t xml:space="preserve">2486</t>
  </si>
  <si>
    <t xml:space="preserve">Blyth Offshore</t>
  </si>
  <si>
    <t xml:space="preserve">Blyth Harbor Wind Ltd</t>
  </si>
  <si>
    <t xml:space="preserve">DECC (S36)</t>
  </si>
  <si>
    <t xml:space="preserve">2925</t>
  </si>
  <si>
    <t xml:space="preserve">Ovenden Moor</t>
  </si>
  <si>
    <t xml:space="preserve">Calderdale</t>
  </si>
  <si>
    <t xml:space="preserve">2948</t>
  </si>
  <si>
    <t xml:space="preserve">Delabole Wind Farm</t>
  </si>
  <si>
    <t xml:space="preserve">Wind Electric</t>
  </si>
  <si>
    <t xml:space="preserve">3004</t>
  </si>
  <si>
    <t xml:space="preserve">Goonhilly Downs - Wind</t>
  </si>
  <si>
    <t xml:space="preserve">REG Windpower</t>
  </si>
  <si>
    <t xml:space="preserve">3005</t>
  </si>
  <si>
    <t xml:space="preserve">Carland Cross</t>
  </si>
  <si>
    <t xml:space="preserve">Scottish Power Renewables</t>
  </si>
  <si>
    <t xml:space="preserve">3358</t>
  </si>
  <si>
    <t xml:space="preserve">Blood Hill Wind Farm</t>
  </si>
  <si>
    <t xml:space="preserve">ECONET LTD</t>
  </si>
  <si>
    <t xml:space="preserve">Great Yarmouth</t>
  </si>
  <si>
    <t xml:space="preserve">4036</t>
  </si>
  <si>
    <t xml:space="preserve">Spurness Wind Farm</t>
  </si>
  <si>
    <t xml:space="preserve">Scottish and Southern Energy (SSE)</t>
  </si>
  <si>
    <t xml:space="preserve">Orkney Islands</t>
  </si>
  <si>
    <t xml:space="preserve">4609</t>
  </si>
  <si>
    <t xml:space="preserve">Hunterston Test Centre</t>
  </si>
  <si>
    <t xml:space="preserve">Scottish Enterprise/SSE</t>
  </si>
  <si>
    <t xml:space="preserve">North Ayrshire</t>
  </si>
  <si>
    <t xml:space="preserve">6844</t>
  </si>
  <si>
    <t xml:space="preserve">ABB &amp; UK Power Networks Energy Storage Installation</t>
  </si>
  <si>
    <t xml:space="preserve">ABB</t>
  </si>
  <si>
    <t xml:space="preserve">6849</t>
  </si>
  <si>
    <t xml:space="preserve">Gigha Wind Farm Battery Project</t>
  </si>
  <si>
    <t xml:space="preserve">Gigha Island community</t>
  </si>
  <si>
    <t xml:space="preserve">Argyll and Bute</t>
  </si>
  <si>
    <t xml:space="preserve">6850</t>
  </si>
  <si>
    <t xml:space="preserve">Highview Pilot Plant</t>
  </si>
  <si>
    <t xml:space="preserve">Highview Power Storage</t>
  </si>
  <si>
    <t xml:space="preserve">Slough</t>
  </si>
  <si>
    <t xml:space="preserve">6863</t>
  </si>
  <si>
    <t xml:space="preserve">Smarter Network Storage</t>
  </si>
  <si>
    <t xml:space="preserve">UK Power Networks</t>
  </si>
  <si>
    <t xml:space="preserve">Central Bedfordshire</t>
  </si>
  <si>
    <t xml:space="preserve">Phase 2 — matching projects to council political control</t>
  </si>
  <si>
    <t xml:space="preserve">Who controlled the council when each decision was made.</t>
  </si>
  <si>
    <t xml:space="preserve">Council control source</t>
  </si>
  <si>
    <t xml:space="preserve">Open Council Data UK (opencouncildata.co.uk), 'GB Compositions 1973-2026', CC0 public domain. Controlling party = largest party by seats each year; collapsed to change-points and matched to each project's planning authority.</t>
  </si>
  <si>
    <t xml:space="preserve">National government</t>
  </si>
  <si>
    <t xml:space="preserve">Date lookup: Con (to May 1997), Lab (1997-2010), Con-led Coalition (2010-15), Con (2015 - Jul 2024), Lab (Jul 2024-).</t>
  </si>
  <si>
    <t xml:space="preserve">Match date</t>
  </si>
  <si>
    <t xml:space="preserve">Control taken at the DECISION year (grant/refusal); consent and commissioning dates also available for later passes.</t>
  </si>
  <si>
    <t xml:space="preserve">COVERAGE</t>
  </si>
  <si>
    <t xml:space="preserve">Total project records</t>
  </si>
  <si>
    <t xml:space="preserve">National/strategic route (no council)</t>
  </si>
  <si>
    <t xml:space="preserve">Local-route projects</t>
  </si>
  <si>
    <t xml:space="preserve">Matched to a council</t>
  </si>
  <si>
    <t xml:space="preserve">Unmatched</t>
  </si>
  <si>
    <t xml:space="preserve">Match rate (of GB local route)</t>
  </si>
  <si>
    <t xml:space="preserve">95.6% (12,805 of 13,397)</t>
  </si>
  <si>
    <t xml:space="preserve">Northern Ireland excluded</t>
  </si>
  <si>
    <t xml:space="preserve">Most unmatched records are NI councils (Fermanagh &amp; Omagh, Derry, etc.) - GB composition file does not cover NI. NI uses a separate, shorter (2014-) series.</t>
  </si>
  <si>
    <t xml:space="preserve">Largest-party proxy</t>
  </si>
  <si>
    <t xml:space="preserve">Control = largest party; coalitions/NOC are attributed to the largest single party. The underlying seat counts are in the source if finer control is needed.</t>
  </si>
  <si>
    <t xml:space="preserve">Alignment confound</t>
  </si>
  <si>
    <t xml:space="preserve">'Council aligned with national government' overlaps heavily with the Con-Con 2015-23 onshore-wind moratorium era - treat the alignment cut as descriptive, not causal.</t>
  </si>
  <si>
    <t xml:space="preserve">Pre-2007 'Nationalist'</t>
  </si>
  <si>
    <t xml:space="preserve">Older Scottish/Welsh records combine SNP+Plaid as 'nat'; shown separately and not merged with modern SNP/Plaid.</t>
  </si>
  <si>
    <t xml:space="preserve">Planning outcomes by controlling council party</t>
  </si>
  <si>
    <t xml:space="preserve">All technologies. Approval rate = granted / (granted + refused), control at decision year.</t>
  </si>
  <si>
    <t xml:space="preserve">Council controlling party</t>
  </si>
  <si>
    <t xml:space="preserve">Capacity consented (MW)</t>
  </si>
  <si>
    <t xml:space="preserve">Built (MW)</t>
  </si>
  <si>
    <t xml:space="preserve">Con</t>
  </si>
  <si>
    <t xml:space="preserve">Lab</t>
  </si>
  <si>
    <t xml:space="preserve">LibDem</t>
  </si>
  <si>
    <t xml:space="preserve">SNP</t>
  </si>
  <si>
    <t xml:space="preserve">Plaid</t>
  </si>
  <si>
    <t xml:space="preserve">Green</t>
  </si>
  <si>
    <t xml:space="preserve">Reform</t>
  </si>
  <si>
    <t xml:space="preserve">Other/Ind</t>
  </si>
  <si>
    <t xml:space="preserve">Nationalist (pre-2007)</t>
  </si>
  <si>
    <t xml:space="preserve">Across all technologies the gap is modest (Con 89% - SNP 93%): in aggregate, council political control is a weak predictor of approval.</t>
  </si>
  <si>
    <t xml:space="preserve">Onshore wind: approval by controlling council party</t>
  </si>
  <si>
    <t xml:space="preserve">The contested technology - where local political control actually bites.</t>
  </si>
  <si>
    <t xml:space="preserve">Conservative-controlled councils approve onshore wind at 61% vs Labour 69%, Lib Dem 71%, SNP 75%. Local control matters most for visible, contested technology.</t>
  </si>
  <si>
    <t xml:space="preserve">By contrast, solar and battery approval exceeds 88% under every party (see comparison sheet) - uncontested tech is approved regardless of who controls the council.</t>
  </si>
  <si>
    <t xml:space="preserve">Does council party matter? Onshore wind vs solar vs battery</t>
  </si>
  <si>
    <t xml:space="preserve">Approval rate by controlling party, three technologies side by side.</t>
  </si>
  <si>
    <t xml:space="preserve">Council party</t>
  </si>
  <si>
    <t xml:space="preserve">Spread across parties: onshore wind ~14 pts (61-75%); solar ~5 pts (92-98%); battery ~6 pts (88-93%). Partisanship shows up only on the contested technology.</t>
  </si>
  <si>
    <t xml:space="preserve">Does it matter if the council matches Westminster?</t>
  </si>
  <si>
    <t xml:space="preserve">Approval where controlling council party = national government party, vs not.</t>
  </si>
  <si>
    <t xml:space="preserve">Council aligned with Westminster</t>
  </si>
  <si>
    <t xml:space="preserve">Council differs from Westminster</t>
  </si>
  <si>
    <t xml:space="preserve">Onshore wind only</t>
  </si>
  <si>
    <t xml:space="preserve">All tech: alignment makes almost no difference (90.0% vs 88.8%). Onshore wind: 'aligned' is LOWER (60.9% vs 67.1%) - but this is mostly the Con-council/Con-government moratorium years, so read as descriptive, not causal.</t>
  </si>
  <si>
    <t xml:space="preserve">Phase 2b - MP / constituency party at decision date</t>
  </si>
  <si>
    <t xml:space="preserve">Each project geocoded to its Westminster constituency; MP party = winner of the general election in effect at the decision.</t>
  </si>
  <si>
    <t xml:space="preserve">Geocoding</t>
  </si>
  <si>
    <t xml:space="preserve">Project postcode -&gt; Westminster constituency via postcodes.io (ONS-derived). Both 2010-2024 and 2024 boundary constituencies returned.</t>
  </si>
  <si>
    <t xml:space="preserve">MP party source</t>
  </si>
  <si>
    <t xml:space="preserve">House of Commons Library: constituency results 1918-2019 (CBP-8647) for GE2010/2015/2017/2019, and GE2024 results (CBP-10009). Winner = largest vote share.</t>
  </si>
  <si>
    <t xml:space="preserve">GE in effect at the decision date: 2010 boundaries/results for decisions May 2010-Jul 2024; 2024 boundaries/results from Jul 2024.</t>
  </si>
  <si>
    <t xml:space="preserve">National/strategic route (excluded)</t>
  </si>
  <si>
    <t xml:space="preserve">Geocoded to a constituency</t>
  </si>
  <si>
    <t xml:space="preserve">Matched to an MP party at decision</t>
  </si>
  <si>
    <t xml:space="preserve">Have BOTH council and MP party</t>
  </si>
  <si>
    <t xml:space="preserve">IMPORTANT - how to read this</t>
  </si>
  <si>
    <t xml:space="preserve">MP party is an AREA proxy, not the decision-maker</t>
  </si>
  <si>
    <t xml:space="preserve">Planning decisions are made by COUNCILS, not MPs. MP party mainly indicates the TYPE of area (rural Tory shire, urban Labour, etc.). So the MP cut describes where projects sit, not who approved them.</t>
  </si>
  <si>
    <t xml:space="preserve">The apparent reversal</t>
  </si>
  <si>
    <t xml:space="preserve">Conservative-MP areas show the HIGHEST onshore-wind approval (rural areas host most wind and much was consented, incl. Scotland's national route), even though Conservative-CONTROLLED COUNCILS are the most restrictive. Do not conflate the two - this is an ecological-inference trap.</t>
  </si>
  <si>
    <t xml:space="preserve">Smaller, noisier sample</t>
  </si>
  <si>
    <t xml:space="preserve">The MP layer (5,805) is roughly half the council layer (12,805) due to missing/old postcodes and 2010&lt;-&gt;2024 boundary renames. Onshore-wind MP cells are small (n=26-115); treat as indicative.</t>
  </si>
  <si>
    <t xml:space="preserve">Planning outcomes by constituency MP party</t>
  </si>
  <si>
    <t xml:space="preserve">MP party at the decision date. NB: an area proxy, not the decision-maker (councils decide).</t>
  </si>
  <si>
    <t xml:space="preserve">Constituency MP party</t>
  </si>
  <si>
    <t xml:space="preserve">Con MP</t>
  </si>
  <si>
    <t xml:space="preserve">Lab MP</t>
  </si>
  <si>
    <t xml:space="preserve">LibDem MP</t>
  </si>
  <si>
    <t xml:space="preserve">SNP MP</t>
  </si>
  <si>
    <t xml:space="preserve">Plaid MP</t>
  </si>
  <si>
    <t xml:space="preserve">Green MP</t>
  </si>
  <si>
    <t xml:space="preserve">Reform MP</t>
  </si>
  <si>
    <t xml:space="preserve">Other MP</t>
  </si>
  <si>
    <t xml:space="preserve">Onshore wind only (small samples)</t>
  </si>
  <si>
    <t xml:space="preserve">Note the reversal vs council control: Con-MP AREAS approve onshore wind most (rural siting), while Con-CONTROLLED COUNCILS approve it least. MP party = area type, not decision-maker.</t>
  </si>
  <si>
    <t xml:space="preserve">When council party and MP party differ</t>
  </si>
  <si>
    <t xml:space="preserve">Does it matter whether the controlling council and the local MP are the same party?</t>
  </si>
  <si>
    <t xml:space="preserve">Council and MP same party</t>
  </si>
  <si>
    <t xml:space="preserve">Council and MP different parties</t>
  </si>
  <si>
    <t xml:space="preserve">Onshore wind: approval by council party / MP party combination (n&gt;=15)</t>
  </si>
  <si>
    <t xml:space="preserve">Council / MP combination</t>
  </si>
  <si>
    <t xml:space="preserve">Con council / Con MP</t>
  </si>
  <si>
    <t xml:space="preserve">Other council / LibDem MP</t>
  </si>
  <si>
    <t xml:space="preserve">Lab council / Lab MP</t>
  </si>
  <si>
    <t xml:space="preserve">Alignment between council and MP makes little difference (all-tech 92.7% vs 91.5%; onshore 76.7% vs 74.0%). The operative actor is the council.</t>
  </si>
</sst>
</file>

<file path=xl/styles.xml><?xml version="1.0" encoding="utf-8"?>
<styleSheet xmlns="http://schemas.openxmlformats.org/spreadsheetml/2006/main">
  <numFmts count="8">
    <numFmt numFmtId="164" formatCode="General"/>
    <numFmt numFmtId="165" formatCode="#,##0"/>
    <numFmt numFmtId="166" formatCode="#,##0.0"/>
    <numFmt numFmtId="167" formatCode="0.0%"/>
    <numFmt numFmtId="168" formatCode="0.0"/>
    <numFmt numFmtId="169" formatCode="0.0\x"/>
    <numFmt numFmtId="170" formatCode="#,##0.00"/>
    <numFmt numFmtId="171" formatCode="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1F3864"/>
      <name val="Arial"/>
      <family val="0"/>
      <charset val="1"/>
    </font>
    <font>
      <b val="true"/>
      <sz val="11"/>
      <color rgb="FF2E5496"/>
      <name val="Arial"/>
      <family val="0"/>
      <charset val="1"/>
    </font>
    <font>
      <i val="true"/>
      <sz val="10"/>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2E5496"/>
        <bgColor rgb="FF1F3864"/>
      </patternFill>
    </fill>
    <fill>
      <patternFill patternType="solid">
        <fgColor rgb="FFD9E1F2"/>
        <bgColor rgb="FFD9D9D9"/>
      </patternFill>
    </fill>
    <fill>
      <patternFill patternType="solid">
        <fgColor rgb="FFFFE699"/>
        <bgColor rgb="FFFFCC99"/>
      </patternFill>
    </fill>
    <fill>
      <patternFill patternType="solid">
        <fgColor rgb="FFF2F2F2"/>
        <bgColor rgb="FFFFFFFF"/>
      </patternFill>
    </fill>
    <fill>
      <patternFill patternType="solid">
        <fgColor rgb="FFC6E0B4"/>
        <bgColor rgb="FFD9D9D9"/>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0" fillId="3" borderId="0" xfId="0" applyFont="false" applyBorder="false" applyAlignment="true" applyProtection="false">
      <alignment horizontal="general" vertical="bottom" textRotation="0" wrapText="false" indent="0" shrinkToFit="false"/>
      <protection locked="true" hidden="false"/>
    </xf>
    <xf numFmtId="166" fontId="0" fillId="3" borderId="0" xfId="0" applyFont="false" applyBorder="false" applyAlignment="true" applyProtection="false">
      <alignment horizontal="general" vertical="bottom" textRotation="0" wrapText="false" indent="0" shrinkToFit="false"/>
      <protection locked="true" hidden="false"/>
    </xf>
    <xf numFmtId="167" fontId="0" fillId="3"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6" fontId="0" fillId="4" borderId="0" xfId="0" applyFont="false" applyBorder="false" applyAlignment="true" applyProtection="false">
      <alignment horizontal="general" vertical="bottom" textRotation="0" wrapText="false" indent="0" shrinkToFit="false"/>
      <protection locked="true" hidden="false"/>
    </xf>
    <xf numFmtId="167" fontId="0" fillId="4"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general" vertical="bottom" textRotation="0" wrapText="false" indent="0" shrinkToFit="false"/>
      <protection locked="true" hidden="false"/>
    </xf>
    <xf numFmtId="167" fontId="0" fillId="5" borderId="0" xfId="0" applyFont="false" applyBorder="false" applyAlignment="true" applyProtection="false">
      <alignment horizontal="general" vertical="bottom" textRotation="0" wrapText="false" indent="0" shrinkToFit="false"/>
      <protection locked="true" hidden="false"/>
    </xf>
    <xf numFmtId="168" fontId="0" fillId="5"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9" fontId="0" fillId="4"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5" fontId="0" fillId="6" borderId="0" xfId="0" applyFont="false" applyBorder="false" applyAlignment="true" applyProtection="false">
      <alignment horizontal="general" vertical="bottom" textRotation="0" wrapText="false" indent="0" shrinkToFit="false"/>
      <protection locked="true" hidden="false"/>
    </xf>
    <xf numFmtId="168" fontId="0" fillId="6" borderId="0" xfId="0" applyFont="fals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70" fontId="7" fillId="4" borderId="0" xfId="0" applyFont="true" applyBorder="false" applyAlignment="true" applyProtection="false">
      <alignment horizontal="general" vertical="bottom" textRotation="0" wrapText="false" indent="0" shrinkToFit="false"/>
      <protection locked="true" hidden="false"/>
    </xf>
    <xf numFmtId="168" fontId="7" fillId="4"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BBB59"/>
      <rgbColor rgb="FF800080"/>
      <rgbColor rgb="FF008080"/>
      <rgbColor rgb="FFBFBFBF"/>
      <rgbColor rgb="FF878787"/>
      <rgbColor rgb="FF9999FF"/>
      <rgbColor rgb="FFBE4B48"/>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4A7EBB"/>
      <rgbColor rgb="FF33CCCC"/>
      <rgbColor rgb="FF98B855"/>
      <rgbColor rgb="FFFFCC00"/>
      <rgbColor rgb="FFFF9900"/>
      <rgbColor rgb="FFFF6600"/>
      <rgbColor rgb="FF7D5FA0"/>
      <rgbColor rgb="FFB3B3B3"/>
      <rgbColor rgb="FF1F3864"/>
      <rgbColor rgb="FF4F81BD"/>
      <rgbColor rgb="FF003300"/>
      <rgbColor rgb="FF333300"/>
      <rgbColor rgb="FF993300"/>
      <rgbColor rgb="FFC0504D"/>
      <rgbColor rgb="FF2E5496"/>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Capacity by stage — top technologies (MW)</a:t>
            </a:r>
          </a:p>
        </c:rich>
      </c:tx>
      <c:overlay val="0"/>
      <c:spPr>
        <a:noFill/>
        <a:ln w="0">
          <a:noFill/>
        </a:ln>
      </c:spPr>
    </c:title>
    <c:autoTitleDeleted val="0"/>
    <c:plotArea>
      <c:barChart>
        <c:barDir val="col"/>
        <c:grouping val="clustered"/>
        <c:varyColors val="0"/>
        <c:ser>
          <c:idx val="0"/>
          <c:order val="0"/>
          <c:tx>
            <c:strRef>
              <c:f>'Funnel by technology'!C4</c:f>
              <c:strCache>
                <c:ptCount val="1"/>
                <c:pt idx="0">
                  <c:v>Capacity (MW)</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'Funnel by technology'!$A$5:$A$10</c:f>
              <c:strCache>
                <c:ptCount val="6"/>
                <c:pt idx="0">
                  <c:v>Solar Photovoltaics</c:v>
                </c:pt>
                <c:pt idx="1">
                  <c:v>Wind Onshore</c:v>
                </c:pt>
                <c:pt idx="2">
                  <c:v>Battery</c:v>
                </c:pt>
                <c:pt idx="3">
                  <c:v>Anaerobic Digestion</c:v>
                </c:pt>
                <c:pt idx="4">
                  <c:v>Landfill Gas</c:v>
                </c:pt>
                <c:pt idx="5">
                  <c:v>Biomass (dedicated)</c:v>
                </c:pt>
              </c:strCache>
            </c:strRef>
          </c:cat>
          <c:val>
            <c:numRef>
              <c:f>'Funnel by technology'!$C$5:$C$10</c:f>
              <c:numCache>
                <c:formatCode>#,##0</c:formatCode>
                <c:ptCount val="6"/>
                <c:pt idx="0">
                  <c:v>64075</c:v>
                </c:pt>
                <c:pt idx="1">
                  <c:v>61547</c:v>
                </c:pt>
                <c:pt idx="2">
                  <c:v>144573</c:v>
                </c:pt>
                <c:pt idx="3">
                  <c:v>784</c:v>
                </c:pt>
                <c:pt idx="4">
                  <c:v>841</c:v>
                </c:pt>
                <c:pt idx="5">
                  <c:v>9707</c:v>
                </c:pt>
              </c:numCache>
            </c:numRef>
          </c:val>
        </c:ser>
        <c:ser>
          <c:idx val="1"/>
          <c:order val="1"/>
          <c:tx>
            <c:strRef>
              <c:f>'Funnel by technology'!E4</c:f>
              <c:strCache>
                <c:ptCount val="1"/>
                <c:pt idx="0">
                  <c:v>Granted cap (MW)</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'Funnel by technology'!$A$5:$A$10</c:f>
              <c:strCache>
                <c:ptCount val="6"/>
                <c:pt idx="0">
                  <c:v>Solar Photovoltaics</c:v>
                </c:pt>
                <c:pt idx="1">
                  <c:v>Wind Onshore</c:v>
                </c:pt>
                <c:pt idx="2">
                  <c:v>Battery</c:v>
                </c:pt>
                <c:pt idx="3">
                  <c:v>Anaerobic Digestion</c:v>
                </c:pt>
                <c:pt idx="4">
                  <c:v>Landfill Gas</c:v>
                </c:pt>
                <c:pt idx="5">
                  <c:v>Biomass (dedicated)</c:v>
                </c:pt>
              </c:strCache>
            </c:strRef>
          </c:cat>
          <c:val>
            <c:numRef>
              <c:f>'Funnel by technology'!$E$5:$E$10</c:f>
              <c:numCache>
                <c:formatCode>#,##0</c:formatCode>
                <c:ptCount val="6"/>
                <c:pt idx="0">
                  <c:v>40636</c:v>
                </c:pt>
                <c:pt idx="1">
                  <c:v>27829</c:v>
                </c:pt>
                <c:pt idx="2">
                  <c:v>82998</c:v>
                </c:pt>
                <c:pt idx="3">
                  <c:v>613</c:v>
                </c:pt>
                <c:pt idx="4">
                  <c:v>808</c:v>
                </c:pt>
                <c:pt idx="5">
                  <c:v>8437</c:v>
                </c:pt>
              </c:numCache>
            </c:numRef>
          </c:val>
        </c:ser>
        <c:ser>
          <c:idx val="2"/>
          <c:order val="2"/>
          <c:tx>
            <c:strRef>
              <c:f>'Funnel by technology'!G4</c:f>
              <c:strCache>
                <c:ptCount val="1"/>
                <c:pt idx="0">
                  <c:v>Built cap (MW)</c:v>
                </c:pt>
              </c:strCache>
            </c:strRef>
          </c:tx>
          <c:spPr>
            <a:solidFill>
              <a:srgbClr val="9BBB59"/>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'Funnel by technology'!$A$5:$A$10</c:f>
              <c:strCache>
                <c:ptCount val="6"/>
                <c:pt idx="0">
                  <c:v>Solar Photovoltaics</c:v>
                </c:pt>
                <c:pt idx="1">
                  <c:v>Wind Onshore</c:v>
                </c:pt>
                <c:pt idx="2">
                  <c:v>Battery</c:v>
                </c:pt>
                <c:pt idx="3">
                  <c:v>Anaerobic Digestion</c:v>
                </c:pt>
                <c:pt idx="4">
                  <c:v>Landfill Gas</c:v>
                </c:pt>
                <c:pt idx="5">
                  <c:v>Biomass (dedicated)</c:v>
                </c:pt>
              </c:strCache>
            </c:strRef>
          </c:cat>
          <c:val>
            <c:numRef>
              <c:f>'Funnel by technology'!$G$5:$G$10</c:f>
              <c:numCache>
                <c:formatCode>#,##0</c:formatCode>
                <c:ptCount val="6"/>
                <c:pt idx="0">
                  <c:v>13733</c:v>
                </c:pt>
                <c:pt idx="1">
                  <c:v>17485</c:v>
                </c:pt>
                <c:pt idx="2">
                  <c:v>12397</c:v>
                </c:pt>
                <c:pt idx="3">
                  <c:v>352</c:v>
                </c:pt>
                <c:pt idx="4">
                  <c:v>758</c:v>
                </c:pt>
                <c:pt idx="5">
                  <c:v>4287</c:v>
                </c:pt>
              </c:numCache>
            </c:numRef>
          </c:val>
        </c:ser>
        <c:gapWidth val="150"/>
        <c:overlap val="0"/>
        <c:axId val="59707922"/>
        <c:axId val="58768487"/>
      </c:barChart>
      <c:catAx>
        <c:axId val="5970792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768487"/>
        <c:crosses val="autoZero"/>
        <c:auto val="1"/>
        <c:lblAlgn val="ctr"/>
        <c:lblOffset val="100"/>
        <c:noMultiLvlLbl val="0"/>
      </c:catAx>
      <c:valAx>
        <c:axId val="5876848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MW</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70792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Median months: application to consent</a:t>
            </a:r>
          </a:p>
        </c:rich>
      </c:tx>
      <c:overlay val="0"/>
      <c:spPr>
        <a:noFill/>
        <a:ln w="0">
          <a:noFill/>
        </a:ln>
      </c:spPr>
    </c:title>
    <c:autoTitleDeleted val="0"/>
    <c:plotArea>
      <c:barChart>
        <c:barDir val="bar"/>
        <c:grouping val="clustered"/>
        <c:varyColors val="0"/>
        <c:ser>
          <c:idx val="0"/>
          <c:order val="0"/>
          <c:tx>
            <c:strRef>
              <c:f>Durations!C4</c:f>
              <c:strCache>
                <c:ptCount val="1"/>
                <c:pt idx="0">
                  <c:v>App -&gt; Granted</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Durations!$A$5:$A$16</c:f>
              <c:strCache>
                <c:ptCount val="12"/>
                <c:pt idx="0">
                  <c:v>Wind Offshore</c:v>
                </c:pt>
                <c:pt idx="1">
                  <c:v>Wind Onshore</c:v>
                </c:pt>
                <c:pt idx="2">
                  <c:v>Tidal Stream</c:v>
                </c:pt>
                <c:pt idx="3">
                  <c:v>EfW Incineration</c:v>
                </c:pt>
                <c:pt idx="4">
                  <c:v>Battery</c:v>
                </c:pt>
                <c:pt idx="5">
                  <c:v>Hydrogen</c:v>
                </c:pt>
                <c:pt idx="6">
                  <c:v>Small Hydro</c:v>
                </c:pt>
                <c:pt idx="7">
                  <c:v>Advanced Conversion Technologies</c:v>
                </c:pt>
                <c:pt idx="8">
                  <c:v>Anaerobic Digestion</c:v>
                </c:pt>
                <c:pt idx="9">
                  <c:v>Biomass (dedicated)</c:v>
                </c:pt>
                <c:pt idx="10">
                  <c:v>Landfill Gas</c:v>
                </c:pt>
                <c:pt idx="11">
                  <c:v>Solar Photovoltaics</c:v>
                </c:pt>
              </c:strCache>
            </c:strRef>
          </c:cat>
          <c:val>
            <c:numRef>
              <c:f>Durations!$C$5:$C$16</c:f>
              <c:numCache>
                <c:formatCode>0.0</c:formatCode>
                <c:ptCount val="12"/>
                <c:pt idx="0">
                  <c:v>18.8</c:v>
                </c:pt>
                <c:pt idx="1">
                  <c:v>16.1</c:v>
                </c:pt>
                <c:pt idx="2">
                  <c:v>10.8</c:v>
                </c:pt>
                <c:pt idx="3">
                  <c:v>9.2</c:v>
                </c:pt>
                <c:pt idx="4">
                  <c:v>6.2</c:v>
                </c:pt>
                <c:pt idx="5">
                  <c:v>6</c:v>
                </c:pt>
                <c:pt idx="6">
                  <c:v>5.9</c:v>
                </c:pt>
                <c:pt idx="7">
                  <c:v>5.7</c:v>
                </c:pt>
                <c:pt idx="8">
                  <c:v>5.2</c:v>
                </c:pt>
                <c:pt idx="9">
                  <c:v>4.2</c:v>
                </c:pt>
                <c:pt idx="10">
                  <c:v>3.9</c:v>
                </c:pt>
                <c:pt idx="11">
                  <c:v>2.3</c:v>
                </c:pt>
              </c:numCache>
            </c:numRef>
          </c:val>
        </c:ser>
        <c:gapWidth val="150"/>
        <c:overlap val="0"/>
        <c:axId val="50333469"/>
        <c:axId val="47723081"/>
      </c:barChart>
      <c:catAx>
        <c:axId val="5033346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23081"/>
        <c:crosses val="autoZero"/>
        <c:auto val="1"/>
        <c:lblAlgn val="ctr"/>
        <c:lblOffset val="100"/>
        <c:noMultiLvlLbl val="0"/>
      </c:catAx>
      <c:valAx>
        <c:axId val="4772308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33346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Median months to decision: granted vs refused</a:t>
            </a:r>
          </a:p>
        </c:rich>
      </c:tx>
      <c:overlay val="0"/>
      <c:spPr>
        <a:noFill/>
        <a:ln w="0">
          <a:noFill/>
        </a:ln>
      </c:spPr>
    </c:title>
    <c:autoTitleDeleted val="0"/>
    <c:plotArea>
      <c:barChart>
        <c:barDir val="bar"/>
        <c:grouping val="clustered"/>
        <c:varyColors val="0"/>
        <c:ser>
          <c:idx val="0"/>
          <c:order val="0"/>
          <c:tx>
            <c:strRef>
              <c:f>'Time to decision'!C4</c:f>
              <c:strCache>
                <c:ptCount val="1"/>
                <c:pt idx="0">
                  <c:v>Granted: median months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'Time to decision'!$A$5:$A$15</c:f>
              <c:strCache>
                <c:ptCount val="11"/>
                <c:pt idx="0">
                  <c:v>Wind Offshore</c:v>
                </c:pt>
                <c:pt idx="1">
                  <c:v>Wind Onshore</c:v>
                </c:pt>
                <c:pt idx="2">
                  <c:v>EfW Incineration</c:v>
                </c:pt>
                <c:pt idx="3">
                  <c:v>Hydrogen</c:v>
                </c:pt>
                <c:pt idx="4">
                  <c:v>Small Hydro</c:v>
                </c:pt>
                <c:pt idx="5">
                  <c:v>Battery</c:v>
                </c:pt>
                <c:pt idx="6">
                  <c:v>Advanced Conversion Technologies</c:v>
                </c:pt>
                <c:pt idx="7">
                  <c:v>Anaerobic Digestion</c:v>
                </c:pt>
                <c:pt idx="8">
                  <c:v>Biomass (dedicated)</c:v>
                </c:pt>
                <c:pt idx="9">
                  <c:v>Landfill Gas</c:v>
                </c:pt>
                <c:pt idx="10">
                  <c:v>Solar Photovoltaics</c:v>
                </c:pt>
              </c:strCache>
            </c:strRef>
          </c:cat>
          <c:val>
            <c:numRef>
              <c:f>'Time to decision'!$C$5:$C$15</c:f>
              <c:numCache>
                <c:formatCode>0.0</c:formatCode>
                <c:ptCount val="11"/>
                <c:pt idx="0">
                  <c:v>18.7</c:v>
                </c:pt>
                <c:pt idx="1">
                  <c:v>14.3</c:v>
                </c:pt>
                <c:pt idx="2">
                  <c:v>8</c:v>
                </c:pt>
                <c:pt idx="3">
                  <c:v>6</c:v>
                </c:pt>
                <c:pt idx="4">
                  <c:v>5.9</c:v>
                </c:pt>
                <c:pt idx="5">
                  <c:v>5.8</c:v>
                </c:pt>
                <c:pt idx="6">
                  <c:v>5.4</c:v>
                </c:pt>
                <c:pt idx="7">
                  <c:v>5.1</c:v>
                </c:pt>
                <c:pt idx="8">
                  <c:v>3.9</c:v>
                </c:pt>
                <c:pt idx="9">
                  <c:v>3.9</c:v>
                </c:pt>
                <c:pt idx="10">
                  <c:v>2.3</c:v>
                </c:pt>
              </c:numCache>
            </c:numRef>
          </c:val>
        </c:ser>
        <c:ser>
          <c:idx val="1"/>
          <c:order val="1"/>
          <c:tx>
            <c:strRef>
              <c:f>'Time to decision'!E4</c:f>
              <c:strCache>
                <c:ptCount val="1"/>
                <c:pt idx="0">
                  <c:v>Refused: median months</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'Time to decision'!$A$5:$A$15</c:f>
              <c:strCache>
                <c:ptCount val="11"/>
                <c:pt idx="0">
                  <c:v>Wind Offshore</c:v>
                </c:pt>
                <c:pt idx="1">
                  <c:v>Wind Onshore</c:v>
                </c:pt>
                <c:pt idx="2">
                  <c:v>EfW Incineration</c:v>
                </c:pt>
                <c:pt idx="3">
                  <c:v>Hydrogen</c:v>
                </c:pt>
                <c:pt idx="4">
                  <c:v>Small Hydro</c:v>
                </c:pt>
                <c:pt idx="5">
                  <c:v>Battery</c:v>
                </c:pt>
                <c:pt idx="6">
                  <c:v>Advanced Conversion Technologies</c:v>
                </c:pt>
                <c:pt idx="7">
                  <c:v>Anaerobic Digestion</c:v>
                </c:pt>
                <c:pt idx="8">
                  <c:v>Biomass (dedicated)</c:v>
                </c:pt>
                <c:pt idx="9">
                  <c:v>Landfill Gas</c:v>
                </c:pt>
                <c:pt idx="10">
                  <c:v>Solar Photovoltaics</c:v>
                </c:pt>
              </c:strCache>
            </c:strRef>
          </c:cat>
          <c:val>
            <c:numRef>
              <c:f>'Time to decision'!$E$5:$E$15</c:f>
              <c:numCache>
                <c:formatCode>0.0</c:formatCode>
                <c:ptCount val="11"/>
                <c:pt idx="0">
                  <c:v>27.2</c:v>
                </c:pt>
                <c:pt idx="1">
                  <c:v>12.4</c:v>
                </c:pt>
                <c:pt idx="2">
                  <c:v>15.5</c:v>
                </c:pt>
                <c:pt idx="4">
                  <c:v>10.4</c:v>
                </c:pt>
                <c:pt idx="5">
                  <c:v>7.3</c:v>
                </c:pt>
                <c:pt idx="6">
                  <c:v>10.6</c:v>
                </c:pt>
                <c:pt idx="7">
                  <c:v>6.7</c:v>
                </c:pt>
                <c:pt idx="8">
                  <c:v>11.3</c:v>
                </c:pt>
                <c:pt idx="9">
                  <c:v>30.5</c:v>
                </c:pt>
                <c:pt idx="10">
                  <c:v>4.1</c:v>
                </c:pt>
              </c:numCache>
            </c:numRef>
          </c:val>
        </c:ser>
        <c:gapWidth val="150"/>
        <c:overlap val="0"/>
        <c:axId val="47264039"/>
        <c:axId val="16523194"/>
      </c:barChart>
      <c:catAx>
        <c:axId val="4726403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6523194"/>
        <c:crosses val="autoZero"/>
        <c:auto val="1"/>
        <c:lblAlgn val="ctr"/>
        <c:lblOffset val="100"/>
        <c:noMultiLvlLbl val="0"/>
      </c:catAx>
      <c:valAx>
        <c:axId val="16523194"/>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726403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Median months to consent: by count vs by capacity</a:t>
            </a:r>
          </a:p>
        </c:rich>
      </c:tx>
      <c:overlay val="0"/>
      <c:spPr>
        <a:noFill/>
        <a:ln w="0">
          <a:noFill/>
        </a:ln>
      </c:spPr>
    </c:title>
    <c:autoTitleDeleted val="0"/>
    <c:plotArea>
      <c:barChart>
        <c:barDir val="col"/>
        <c:grouping val="clustered"/>
        <c:varyColors val="0"/>
        <c:ser>
          <c:idx val="0"/>
          <c:order val="0"/>
          <c:tx>
            <c:strRef>
              <c:f>'Volume vs application wtd'!C4</c:f>
              <c:strCache>
                <c:ptCount val="1"/>
                <c:pt idx="0">
                  <c:v>By project count (months)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'Volume vs application wtd'!$A$5:$A$9</c:f>
              <c:strCache>
                <c:ptCount val="5"/>
                <c:pt idx="0">
                  <c:v>Solar PV</c:v>
                </c:pt>
                <c:pt idx="1">
                  <c:v>Onshore wind</c:v>
                </c:pt>
                <c:pt idx="2">
                  <c:v>Battery</c:v>
                </c:pt>
                <c:pt idx="3">
                  <c:v>Offshore wind</c:v>
                </c:pt>
                <c:pt idx="4">
                  <c:v>All technologies</c:v>
                </c:pt>
              </c:strCache>
            </c:strRef>
          </c:cat>
          <c:val>
            <c:numRef>
              <c:f>'Volume vs application wtd'!$C$5:$C$9</c:f>
              <c:numCache>
                <c:formatCode>0.0</c:formatCode>
                <c:ptCount val="5"/>
                <c:pt idx="0">
                  <c:v>2.3</c:v>
                </c:pt>
                <c:pt idx="1">
                  <c:v>16.1</c:v>
                </c:pt>
                <c:pt idx="2">
                  <c:v>6.2</c:v>
                </c:pt>
                <c:pt idx="3">
                  <c:v>18.8</c:v>
                </c:pt>
                <c:pt idx="4">
                  <c:v>3.8</c:v>
                </c:pt>
              </c:numCache>
            </c:numRef>
          </c:val>
        </c:ser>
        <c:ser>
          <c:idx val="1"/>
          <c:order val="1"/>
          <c:tx>
            <c:strRef>
              <c:f>'Volume vs application wtd'!D4</c:f>
              <c:strCache>
                <c:ptCount val="1"/>
                <c:pt idx="0">
                  <c:v>By capacity / MW (months)</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'Volume vs application wtd'!$A$5:$A$9</c:f>
              <c:strCache>
                <c:ptCount val="5"/>
                <c:pt idx="0">
                  <c:v>Solar PV</c:v>
                </c:pt>
                <c:pt idx="1">
                  <c:v>Onshore wind</c:v>
                </c:pt>
                <c:pt idx="2">
                  <c:v>Battery</c:v>
                </c:pt>
                <c:pt idx="3">
                  <c:v>Offshore wind</c:v>
                </c:pt>
                <c:pt idx="4">
                  <c:v>All technologies</c:v>
                </c:pt>
              </c:strCache>
            </c:strRef>
          </c:cat>
          <c:val>
            <c:numRef>
              <c:f>'Volume vs application wtd'!$D$5:$D$9</c:f>
              <c:numCache>
                <c:formatCode>0.0</c:formatCode>
                <c:ptCount val="5"/>
                <c:pt idx="0">
                  <c:v>9.7</c:v>
                </c:pt>
                <c:pt idx="1">
                  <c:v>28.6</c:v>
                </c:pt>
                <c:pt idx="2">
                  <c:v>9.2</c:v>
                </c:pt>
                <c:pt idx="3">
                  <c:v>20.6</c:v>
                </c:pt>
                <c:pt idx="4">
                  <c:v>14.4</c:v>
                </c:pt>
              </c:numCache>
            </c:numRef>
          </c:val>
        </c:ser>
        <c:gapWidth val="150"/>
        <c:overlap val="0"/>
        <c:axId val="63586441"/>
        <c:axId val="29974260"/>
      </c:barChart>
      <c:catAx>
        <c:axId val="6358644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974260"/>
        <c:crosses val="autoZero"/>
        <c:auto val="1"/>
        <c:lblAlgn val="ctr"/>
        <c:lblOffset val="100"/>
        <c:noMultiLvlLbl val="0"/>
      </c:catAx>
      <c:valAx>
        <c:axId val="29974260"/>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358644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Solar: median months to consent by size band</a:t>
            </a:r>
          </a:p>
        </c:rich>
      </c:tx>
      <c:overlay val="0"/>
      <c:spPr>
        <a:noFill/>
        <a:ln w="0">
          <a:noFill/>
        </a:ln>
      </c:spPr>
    </c:title>
    <c:autoTitleDeleted val="0"/>
    <c:plotArea>
      <c:barChart>
        <c:barDir val="col"/>
        <c:grouping val="clustered"/>
        <c:varyColors val="0"/>
        <c:ser>
          <c:idx val="0"/>
          <c:order val="0"/>
          <c:tx>
            <c:strRef>
              <c:f>'Volume vs application wtd'!C14</c:f>
              <c:strCache>
                <c:ptCount val="1"/>
                <c:pt idx="0">
                  <c:v>Median months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'Volume vs application wtd'!$A$15:$A$25</c:f>
              <c:strCache>
                <c:ptCount val="11"/>
                <c:pt idx="0">
                  <c:v>0-1 MW</c:v>
                </c:pt>
                <c:pt idx="1">
                  <c:v>1-5</c:v>
                </c:pt>
                <c:pt idx="2">
                  <c:v>5-10</c:v>
                </c:pt>
                <c:pt idx="3">
                  <c:v>10-20</c:v>
                </c:pt>
                <c:pt idx="4">
                  <c:v>20-30</c:v>
                </c:pt>
                <c:pt idx="5">
                  <c:v>30-40</c:v>
                </c:pt>
                <c:pt idx="6">
                  <c:v>40-49.5</c:v>
                </c:pt>
                <c:pt idx="7">
                  <c:v>49.5-50</c:v>
                </c:pt>
                <c:pt idx="8">
                  <c:v>50-75</c:v>
                </c:pt>
                <c:pt idx="9">
                  <c:v>75-150</c:v>
                </c:pt>
                <c:pt idx="10">
                  <c:v>150+ (NSIP)</c:v>
                </c:pt>
              </c:strCache>
            </c:strRef>
          </c:cat>
          <c:val>
            <c:numRef>
              <c:f>'Volume vs application wtd'!$C$15:$C$25</c:f>
              <c:numCache>
                <c:formatCode>0.0</c:formatCode>
                <c:ptCount val="11"/>
                <c:pt idx="0">
                  <c:v>1.8</c:v>
                </c:pt>
                <c:pt idx="1">
                  <c:v>3</c:v>
                </c:pt>
                <c:pt idx="2">
                  <c:v>3.9</c:v>
                </c:pt>
                <c:pt idx="3">
                  <c:v>4.9</c:v>
                </c:pt>
                <c:pt idx="4">
                  <c:v>8.9</c:v>
                </c:pt>
                <c:pt idx="5">
                  <c:v>10.9</c:v>
                </c:pt>
                <c:pt idx="6">
                  <c:v>10.3</c:v>
                </c:pt>
                <c:pt idx="7">
                  <c:v>10.8</c:v>
                </c:pt>
                <c:pt idx="8">
                  <c:v>12.8</c:v>
                </c:pt>
                <c:pt idx="9">
                  <c:v>15.9</c:v>
                </c:pt>
                <c:pt idx="10">
                  <c:v>17.5</c:v>
                </c:pt>
              </c:numCache>
            </c:numRef>
          </c:val>
        </c:ser>
        <c:gapWidth val="150"/>
        <c:overlap val="0"/>
        <c:axId val="37016744"/>
        <c:axId val="4299906"/>
      </c:barChart>
      <c:catAx>
        <c:axId val="3701674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99906"/>
        <c:crosses val="autoZero"/>
        <c:auto val="1"/>
        <c:lblAlgn val="ctr"/>
        <c:lblOffset val="100"/>
        <c:noMultiLvlLbl val="0"/>
      </c:catAx>
      <c:valAx>
        <c:axId val="4299906"/>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016744"/>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Median months to consent by solar project size</a:t>
            </a:r>
          </a:p>
        </c:rich>
      </c:tx>
      <c:overlay val="0"/>
      <c:spPr>
        <a:noFill/>
        <a:ln w="0">
          <a:noFill/>
        </a:ln>
      </c:spPr>
    </c:title>
    <c:autoTitleDeleted val="0"/>
    <c:plotArea>
      <c:barChart>
        <c:barDir val="col"/>
        <c:grouping val="clustered"/>
        <c:varyColors val="0"/>
        <c:ser>
          <c:idx val="0"/>
          <c:order val="0"/>
          <c:tx>
            <c:strRef>
              <c:f>'Solar timing explained'!C5</c:f>
              <c:strCache>
                <c:ptCount val="1"/>
                <c:pt idx="0">
                  <c:v>Median months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'Solar timing explained'!$A$6:$A$9</c:f>
              <c:strCache>
                <c:ptCount val="4"/>
                <c:pt idx="0">
                  <c:v>&lt;1MW</c:v>
                </c:pt>
                <c:pt idx="1">
                  <c:v>1-5MW</c:v>
                </c:pt>
                <c:pt idx="2">
                  <c:v>5-50MW</c:v>
                </c:pt>
                <c:pt idx="3">
                  <c:v>50MW+</c:v>
                </c:pt>
              </c:strCache>
            </c:strRef>
          </c:cat>
          <c:val>
            <c:numRef>
              <c:f>'Solar timing explained'!$C$6:$C$9</c:f>
              <c:numCache>
                <c:formatCode>0.0</c:formatCode>
                <c:ptCount val="4"/>
                <c:pt idx="0">
                  <c:v>1.8</c:v>
                </c:pt>
                <c:pt idx="1">
                  <c:v>3</c:v>
                </c:pt>
                <c:pt idx="2">
                  <c:v>5.3</c:v>
                </c:pt>
                <c:pt idx="3">
                  <c:v>16</c:v>
                </c:pt>
              </c:numCache>
            </c:numRef>
          </c:val>
        </c:ser>
        <c:gapWidth val="150"/>
        <c:overlap val="0"/>
        <c:axId val="73785686"/>
        <c:axId val="4941728"/>
      </c:barChart>
      <c:catAx>
        <c:axId val="7378568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941728"/>
        <c:crosses val="autoZero"/>
        <c:auto val="1"/>
        <c:lblAlgn val="ctr"/>
        <c:lblOffset val="100"/>
        <c:noMultiLvlLbl val="0"/>
      </c:catAx>
      <c:valAx>
        <c:axId val="494172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3785686"/>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Approval rate: all tech vs onshore wind</a:t>
            </a:r>
          </a:p>
        </c:rich>
      </c:tx>
      <c:overlay val="0"/>
      <c:spPr>
        <a:noFill/>
        <a:ln w="0">
          <a:noFill/>
        </a:ln>
      </c:spPr>
    </c:title>
    <c:autoTitleDeleted val="0"/>
    <c:plotArea>
      <c:lineChart>
        <c:grouping val="standard"/>
        <c:varyColors val="0"/>
        <c:ser>
          <c:idx val="0"/>
          <c:order val="0"/>
          <c:tx>
            <c:strRef>
              <c:f>'Approval trend'!D4</c:f>
              <c:strCache>
                <c:ptCount val="1"/>
                <c:pt idx="0">
                  <c:v>All approval %</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'Approval trend'!$A$5:$A$23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'Approval trend'!$D$5:$D$23</c:f>
              <c:numCache>
                <c:formatCode>0.0%</c:formatCode>
                <c:ptCount val="19"/>
                <c:pt idx="0">
                  <c:v>0.728571428571429</c:v>
                </c:pt>
                <c:pt idx="1">
                  <c:v>0.694915254237288</c:v>
                </c:pt>
                <c:pt idx="2">
                  <c:v>0.709183673469388</c:v>
                </c:pt>
                <c:pt idx="3">
                  <c:v>0.753799392097264</c:v>
                </c:pt>
                <c:pt idx="4">
                  <c:v>0.713881019830028</c:v>
                </c:pt>
                <c:pt idx="5">
                  <c:v>0.699443413729128</c:v>
                </c:pt>
                <c:pt idx="6">
                  <c:v>0.679824561403509</c:v>
                </c:pt>
                <c:pt idx="7">
                  <c:v>0.691685912240185</c:v>
                </c:pt>
                <c:pt idx="8">
                  <c:v>0.712209302325581</c:v>
                </c:pt>
                <c:pt idx="9">
                  <c:v>0.715083798882682</c:v>
                </c:pt>
                <c:pt idx="10">
                  <c:v>0.725663716814159</c:v>
                </c:pt>
                <c:pt idx="11">
                  <c:v>0.886792452830189</c:v>
                </c:pt>
                <c:pt idx="12">
                  <c:v>0.902222222222222</c:v>
                </c:pt>
                <c:pt idx="13">
                  <c:v>0.906360424028269</c:v>
                </c:pt>
                <c:pt idx="14">
                  <c:v>0.916287534121929</c:v>
                </c:pt>
                <c:pt idx="15">
                  <c:v>0.920634920634921</c:v>
                </c:pt>
                <c:pt idx="16">
                  <c:v>0.879082696316887</c:v>
                </c:pt>
                <c:pt idx="17">
                  <c:v>0.886390532544379</c:v>
                </c:pt>
                <c:pt idx="18">
                  <c:v>0.888392857142857</c:v>
                </c:pt>
              </c:numCache>
            </c:numRef>
          </c:val>
          <c:smooth val="1"/>
        </c:ser>
        <c:ser>
          <c:idx val="1"/>
          <c:order val="1"/>
          <c:tx>
            <c:strRef>
              <c:f>'Approval trend'!G4</c:f>
              <c:strCache>
                <c:ptCount val="1"/>
                <c:pt idx="0">
                  <c:v>Onshore approval %</c:v>
                </c:pt>
              </c:strCache>
            </c:strRef>
          </c:tx>
          <c:spPr>
            <a:solidFill>
              <a:srgbClr val="BE4B48"/>
            </a:solidFill>
            <a:ln w="12600">
              <a:solidFill>
                <a:srgbClr val="BE4B4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'Approval trend'!$A$5:$A$23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'Approval trend'!$G$5:$G$23</c:f>
              <c:numCache>
                <c:formatCode>0.0%</c:formatCode>
                <c:ptCount val="19"/>
                <c:pt idx="0">
                  <c:v>0.64</c:v>
                </c:pt>
                <c:pt idx="1">
                  <c:v>0.633333333333333</c:v>
                </c:pt>
                <c:pt idx="2">
                  <c:v>0.588235294117647</c:v>
                </c:pt>
                <c:pt idx="3">
                  <c:v>0.527131782945737</c:v>
                </c:pt>
                <c:pt idx="4">
                  <c:v>0.538922155688623</c:v>
                </c:pt>
                <c:pt idx="5">
                  <c:v>0.466257668711656</c:v>
                </c:pt>
                <c:pt idx="6">
                  <c:v>0.4</c:v>
                </c:pt>
                <c:pt idx="7">
                  <c:v>0.416666666666667</c:v>
                </c:pt>
                <c:pt idx="8">
                  <c:v>0.506172839506173</c:v>
                </c:pt>
                <c:pt idx="9">
                  <c:v>0.452054794520548</c:v>
                </c:pt>
                <c:pt idx="10">
                  <c:v>0.536585365853659</c:v>
                </c:pt>
                <c:pt idx="11">
                  <c:v>0.733333333333333</c:v>
                </c:pt>
                <c:pt idx="12">
                  <c:v>0.814814814814815</c:v>
                </c:pt>
                <c:pt idx="13">
                  <c:v>0.84</c:v>
                </c:pt>
                <c:pt idx="14">
                  <c:v>0.875</c:v>
                </c:pt>
                <c:pt idx="15">
                  <c:v>0.822222222222222</c:v>
                </c:pt>
                <c:pt idx="16">
                  <c:v>0.791044776119403</c:v>
                </c:pt>
                <c:pt idx="17">
                  <c:v>0.877777777777778</c:v>
                </c:pt>
                <c:pt idx="18">
                  <c:v>0.75</c:v>
                </c:pt>
              </c:numCache>
            </c:numRef>
          </c:val>
          <c:smooth val="1"/>
        </c:ser>
        <c:hiLowLines>
          <c:spPr>
            <a:ln w="0">
              <a:noFill/>
            </a:ln>
          </c:spPr>
        </c:hiLowLines>
        <c:marker val="0"/>
        <c:axId val="76462396"/>
        <c:axId val="92344811"/>
      </c:lineChart>
      <c:catAx>
        <c:axId val="7646239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344811"/>
        <c:crosses val="autoZero"/>
        <c:auto val="1"/>
        <c:lblAlgn val="ctr"/>
        <c:lblOffset val="100"/>
        <c:noMultiLvlLbl val="0"/>
      </c:catAx>
      <c:valAx>
        <c:axId val="9234481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Approval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46239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Onshore wind applications submitted per year, by nation</a:t>
            </a:r>
          </a:p>
        </c:rich>
      </c:tx>
      <c:overlay val="0"/>
      <c:spPr>
        <a:noFill/>
        <a:ln w="0">
          <a:noFill/>
        </a:ln>
      </c:spPr>
    </c:title>
    <c:autoTitleDeleted val="0"/>
    <c:plotArea>
      <c:lineChart>
        <c:grouping val="standard"/>
        <c:varyColors val="0"/>
        <c:ser>
          <c:idx val="0"/>
          <c:order val="0"/>
          <c:tx>
            <c:strRef>
              <c:f>'Onshore wind by nation'!B4</c:f>
              <c:strCache>
                <c:ptCount val="1"/>
                <c:pt idx="0">
                  <c:v>England</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'Onshore wind by nation'!$A$5:$A$23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'Onshore wind by nation'!$B$5:$B$23</c:f>
              <c:numCache>
                <c:formatCode>General</c:formatCode>
                <c:ptCount val="19"/>
                <c:pt idx="0">
                  <c:v>60</c:v>
                </c:pt>
                <c:pt idx="1">
                  <c:v>63</c:v>
                </c:pt>
                <c:pt idx="2">
                  <c:v>58</c:v>
                </c:pt>
                <c:pt idx="3">
                  <c:v>65</c:v>
                </c:pt>
                <c:pt idx="4">
                  <c:v>52</c:v>
                </c:pt>
                <c:pt idx="5">
                  <c:v>55</c:v>
                </c:pt>
                <c:pt idx="6">
                  <c:v>53</c:v>
                </c:pt>
                <c:pt idx="7">
                  <c:v>23</c:v>
                </c:pt>
                <c:pt idx="8">
                  <c:v>4</c:v>
                </c:pt>
                <c:pt idx="9">
                  <c:v>1</c:v>
                </c:pt>
                <c:pt idx="10">
                  <c:v>3</c:v>
                </c:pt>
                <c:pt idx="11">
                  <c:v>0</c:v>
                </c:pt>
                <c:pt idx="12">
                  <c:v>3</c:v>
                </c:pt>
                <c:pt idx="13">
                  <c:v>4</c:v>
                </c:pt>
                <c:pt idx="14">
                  <c:v>10</c:v>
                </c:pt>
                <c:pt idx="15">
                  <c:v>11</c:v>
                </c:pt>
                <c:pt idx="16">
                  <c:v>26</c:v>
                </c:pt>
                <c:pt idx="17">
                  <c:v>42</c:v>
                </c:pt>
                <c:pt idx="18">
                  <c:v>9</c:v>
                </c:pt>
              </c:numCache>
            </c:numRef>
          </c:val>
          <c:smooth val="1"/>
        </c:ser>
        <c:ser>
          <c:idx val="1"/>
          <c:order val="1"/>
          <c:tx>
            <c:strRef>
              <c:f>'Onshore wind by nation'!C4</c:f>
              <c:strCache>
                <c:ptCount val="1"/>
                <c:pt idx="0">
                  <c:v>Scotland</c:v>
                </c:pt>
              </c:strCache>
            </c:strRef>
          </c:tx>
          <c:spPr>
            <a:solidFill>
              <a:srgbClr val="BE4B48"/>
            </a:solidFill>
            <a:ln w="12600">
              <a:solidFill>
                <a:srgbClr val="BE4B4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'Onshore wind by nation'!$A$5:$A$23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'Onshore wind by nation'!$C$5:$C$23</c:f>
              <c:numCache>
                <c:formatCode>General</c:formatCode>
                <c:ptCount val="19"/>
                <c:pt idx="0">
                  <c:v>32</c:v>
                </c:pt>
                <c:pt idx="1">
                  <c:v>58</c:v>
                </c:pt>
                <c:pt idx="2">
                  <c:v>51</c:v>
                </c:pt>
                <c:pt idx="3">
                  <c:v>79</c:v>
                </c:pt>
                <c:pt idx="4">
                  <c:v>90</c:v>
                </c:pt>
                <c:pt idx="5">
                  <c:v>99</c:v>
                </c:pt>
                <c:pt idx="6">
                  <c:v>78</c:v>
                </c:pt>
                <c:pt idx="7">
                  <c:v>78</c:v>
                </c:pt>
                <c:pt idx="8">
                  <c:v>23</c:v>
                </c:pt>
                <c:pt idx="9">
                  <c:v>22</c:v>
                </c:pt>
                <c:pt idx="10">
                  <c:v>27</c:v>
                </c:pt>
                <c:pt idx="11">
                  <c:v>44</c:v>
                </c:pt>
                <c:pt idx="12">
                  <c:v>40</c:v>
                </c:pt>
                <c:pt idx="13">
                  <c:v>40</c:v>
                </c:pt>
                <c:pt idx="14">
                  <c:v>52</c:v>
                </c:pt>
                <c:pt idx="15">
                  <c:v>61</c:v>
                </c:pt>
                <c:pt idx="16">
                  <c:v>61</c:v>
                </c:pt>
                <c:pt idx="17">
                  <c:v>63</c:v>
                </c:pt>
                <c:pt idx="18">
                  <c:v>10</c:v>
                </c:pt>
              </c:numCache>
            </c:numRef>
          </c:val>
          <c:smooth val="1"/>
        </c:ser>
        <c:ser>
          <c:idx val="2"/>
          <c:order val="2"/>
          <c:tx>
            <c:strRef>
              <c:f>'Onshore wind by nation'!D4</c:f>
              <c:strCache>
                <c:ptCount val="1"/>
                <c:pt idx="0">
                  <c:v>Wales</c:v>
                </c:pt>
              </c:strCache>
            </c:strRef>
          </c:tx>
          <c:spPr>
            <a:solidFill>
              <a:srgbClr val="98B855"/>
            </a:solidFill>
            <a:ln w="12600">
              <a:solidFill>
                <a:srgbClr val="98B8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'Onshore wind by nation'!$A$5:$A$23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'Onshore wind by nation'!$D$5:$D$23</c:f>
              <c:numCache>
                <c:formatCode>General</c:formatCode>
                <c:ptCount val="19"/>
                <c:pt idx="0">
                  <c:v>11</c:v>
                </c:pt>
                <c:pt idx="1">
                  <c:v>5</c:v>
                </c:pt>
                <c:pt idx="2">
                  <c:v>8</c:v>
                </c:pt>
                <c:pt idx="3">
                  <c:v>9</c:v>
                </c:pt>
                <c:pt idx="4">
                  <c:v>10</c:v>
                </c:pt>
                <c:pt idx="5">
                  <c:v>7</c:v>
                </c:pt>
                <c:pt idx="6">
                  <c:v>18</c:v>
                </c:pt>
                <c:pt idx="7">
                  <c:v>11</c:v>
                </c:pt>
                <c:pt idx="8">
                  <c:v>3</c:v>
                </c:pt>
                <c:pt idx="9">
                  <c:v>5</c:v>
                </c:pt>
                <c:pt idx="10">
                  <c:v>3</c:v>
                </c:pt>
                <c:pt idx="11">
                  <c:v>0</c:v>
                </c:pt>
                <c:pt idx="12">
                  <c:v>3</c:v>
                </c:pt>
                <c:pt idx="13">
                  <c:v>4</c:v>
                </c:pt>
                <c:pt idx="14">
                  <c:v>3</c:v>
                </c:pt>
                <c:pt idx="15">
                  <c:v>14</c:v>
                </c:pt>
                <c:pt idx="16">
                  <c:v>5</c:v>
                </c:pt>
                <c:pt idx="17">
                  <c:v>12</c:v>
                </c:pt>
                <c:pt idx="18">
                  <c:v>2</c:v>
                </c:pt>
              </c:numCache>
            </c:numRef>
          </c:val>
          <c:smooth val="1"/>
        </c:ser>
        <c:ser>
          <c:idx val="3"/>
          <c:order val="3"/>
          <c:tx>
            <c:strRef>
              <c:f>'Onshore wind by nation'!E4</c:f>
              <c:strCache>
                <c:ptCount val="1"/>
                <c:pt idx="0">
                  <c:v>Northern Ireland</c:v>
                </c:pt>
              </c:strCache>
            </c:strRef>
          </c:tx>
          <c:spPr>
            <a:solidFill>
              <a:srgbClr val="7D5FA0"/>
            </a:solidFill>
            <a:ln w="12600">
              <a:solidFill>
                <a:srgbClr val="7D5FA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'Onshore wind by nation'!$A$5:$A$23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'Onshore wind by nation'!$E$5:$E$23</c:f>
              <c:numCache>
                <c:formatCode>General</c:formatCode>
                <c:ptCount val="19"/>
                <c:pt idx="0">
                  <c:v>11</c:v>
                </c:pt>
                <c:pt idx="1">
                  <c:v>12</c:v>
                </c:pt>
                <c:pt idx="2">
                  <c:v>7</c:v>
                </c:pt>
                <c:pt idx="3">
                  <c:v>16</c:v>
                </c:pt>
                <c:pt idx="4">
                  <c:v>3</c:v>
                </c:pt>
                <c:pt idx="5">
                  <c:v>16</c:v>
                </c:pt>
                <c:pt idx="6">
                  <c:v>9</c:v>
                </c:pt>
                <c:pt idx="7">
                  <c:v>14</c:v>
                </c:pt>
                <c:pt idx="8">
                  <c:v>2</c:v>
                </c:pt>
                <c:pt idx="9">
                  <c:v>4</c:v>
                </c:pt>
                <c:pt idx="10">
                  <c:v>11</c:v>
                </c:pt>
                <c:pt idx="11">
                  <c:v>55</c:v>
                </c:pt>
                <c:pt idx="12">
                  <c:v>37</c:v>
                </c:pt>
                <c:pt idx="13">
                  <c:v>20</c:v>
                </c:pt>
                <c:pt idx="14">
                  <c:v>3</c:v>
                </c:pt>
                <c:pt idx="15">
                  <c:v>33</c:v>
                </c:pt>
                <c:pt idx="16">
                  <c:v>24</c:v>
                </c:pt>
                <c:pt idx="17">
                  <c:v>19</c:v>
                </c:pt>
                <c:pt idx="18">
                  <c:v>0</c:v>
                </c:pt>
              </c:numCache>
            </c:numRef>
          </c:val>
          <c:smooth val="1"/>
        </c:ser>
        <c:hiLowLines>
          <c:spPr>
            <a:ln w="0">
              <a:noFill/>
            </a:ln>
          </c:spPr>
        </c:hiLowLines>
        <c:marker val="0"/>
        <c:axId val="80189057"/>
        <c:axId val="51135643"/>
      </c:lineChart>
      <c:catAx>
        <c:axId val="8018905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135643"/>
        <c:crosses val="autoZero"/>
        <c:auto val="1"/>
        <c:lblAlgn val="ctr"/>
        <c:lblOffset val="100"/>
        <c:noMultiLvlLbl val="0"/>
      </c:catAx>
      <c:valAx>
        <c:axId val="5113564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Applications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18905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Applications submitted per year, by technology</a:t>
            </a:r>
          </a:p>
        </c:rich>
      </c:tx>
      <c:overlay val="0"/>
      <c:spPr>
        <a:noFill/>
        <a:ln w="0">
          <a:noFill/>
        </a:ln>
      </c:spPr>
    </c:title>
    <c:autoTitleDeleted val="0"/>
    <c:plotArea>
      <c:lineChart>
        <c:grouping val="standard"/>
        <c:varyColors val="0"/>
        <c:ser>
          <c:idx val="0"/>
          <c:order val="0"/>
          <c:tx>
            <c:strRef>
              <c:f>'Applications by tech'!B4</c:f>
              <c:strCache>
                <c:ptCount val="1"/>
                <c:pt idx="0">
                  <c:v>Solar</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'Applications by tech'!$A$5:$A$23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'Applications by tech'!$B$5:$B$23</c:f>
              <c:numCache>
                <c:formatCode>General</c:formatCode>
                <c:ptCount val="19"/>
                <c:pt idx="0">
                  <c:v>0</c:v>
                </c:pt>
                <c:pt idx="1">
                  <c:v>0</c:v>
                </c:pt>
                <c:pt idx="2">
                  <c:v>28</c:v>
                </c:pt>
                <c:pt idx="3">
                  <c:v>106</c:v>
                </c:pt>
                <c:pt idx="4">
                  <c:v>221</c:v>
                </c:pt>
                <c:pt idx="5">
                  <c:v>313</c:v>
                </c:pt>
                <c:pt idx="6">
                  <c:v>512</c:v>
                </c:pt>
                <c:pt idx="7">
                  <c:v>617</c:v>
                </c:pt>
                <c:pt idx="8">
                  <c:v>32</c:v>
                </c:pt>
                <c:pt idx="9">
                  <c:v>17</c:v>
                </c:pt>
                <c:pt idx="10">
                  <c:v>39</c:v>
                </c:pt>
                <c:pt idx="11">
                  <c:v>118</c:v>
                </c:pt>
                <c:pt idx="12">
                  <c:v>170</c:v>
                </c:pt>
                <c:pt idx="13">
                  <c:v>483</c:v>
                </c:pt>
                <c:pt idx="14">
                  <c:v>969</c:v>
                </c:pt>
                <c:pt idx="15">
                  <c:v>1259</c:v>
                </c:pt>
                <c:pt idx="16">
                  <c:v>1011</c:v>
                </c:pt>
                <c:pt idx="17">
                  <c:v>1090</c:v>
                </c:pt>
                <c:pt idx="18">
                  <c:v>190</c:v>
                </c:pt>
              </c:numCache>
            </c:numRef>
          </c:val>
          <c:smooth val="1"/>
        </c:ser>
        <c:ser>
          <c:idx val="1"/>
          <c:order val="1"/>
          <c:tx>
            <c:strRef>
              <c:f>'Applications by tech'!C4</c:f>
              <c:strCache>
                <c:ptCount val="1"/>
                <c:pt idx="0">
                  <c:v>Onshore wind</c:v>
                </c:pt>
              </c:strCache>
            </c:strRef>
          </c:tx>
          <c:spPr>
            <a:solidFill>
              <a:srgbClr val="BE4B48"/>
            </a:solidFill>
            <a:ln w="12600">
              <a:solidFill>
                <a:srgbClr val="BE4B4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'Applications by tech'!$A$5:$A$23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'Applications by tech'!$C$5:$C$23</c:f>
              <c:numCache>
                <c:formatCode>General</c:formatCode>
                <c:ptCount val="19"/>
                <c:pt idx="0">
                  <c:v>114</c:v>
                </c:pt>
                <c:pt idx="1">
                  <c:v>138</c:v>
                </c:pt>
                <c:pt idx="2">
                  <c:v>124</c:v>
                </c:pt>
                <c:pt idx="3">
                  <c:v>169</c:v>
                </c:pt>
                <c:pt idx="4">
                  <c:v>155</c:v>
                </c:pt>
                <c:pt idx="5">
                  <c:v>177</c:v>
                </c:pt>
                <c:pt idx="6">
                  <c:v>158</c:v>
                </c:pt>
                <c:pt idx="7">
                  <c:v>126</c:v>
                </c:pt>
                <c:pt idx="8">
                  <c:v>32</c:v>
                </c:pt>
                <c:pt idx="9">
                  <c:v>32</c:v>
                </c:pt>
                <c:pt idx="10">
                  <c:v>44</c:v>
                </c:pt>
                <c:pt idx="11">
                  <c:v>99</c:v>
                </c:pt>
                <c:pt idx="12">
                  <c:v>83</c:v>
                </c:pt>
                <c:pt idx="13">
                  <c:v>68</c:v>
                </c:pt>
                <c:pt idx="14">
                  <c:v>68</c:v>
                </c:pt>
                <c:pt idx="15">
                  <c:v>119</c:v>
                </c:pt>
                <c:pt idx="16">
                  <c:v>116</c:v>
                </c:pt>
                <c:pt idx="17">
                  <c:v>136</c:v>
                </c:pt>
                <c:pt idx="18">
                  <c:v>21</c:v>
                </c:pt>
              </c:numCache>
            </c:numRef>
          </c:val>
          <c:smooth val="1"/>
        </c:ser>
        <c:ser>
          <c:idx val="2"/>
          <c:order val="2"/>
          <c:tx>
            <c:strRef>
              <c:f>'Applications by tech'!D4</c:f>
              <c:strCache>
                <c:ptCount val="1"/>
                <c:pt idx="0">
                  <c:v>Battery</c:v>
                </c:pt>
              </c:strCache>
            </c:strRef>
          </c:tx>
          <c:spPr>
            <a:solidFill>
              <a:srgbClr val="98B855"/>
            </a:solidFill>
            <a:ln w="12600">
              <a:solidFill>
                <a:srgbClr val="98B8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'Applications by tech'!$A$5:$A$23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'Applications by tech'!$D$5:$D$23</c:f>
              <c:numCache>
                <c:formatCode>General</c:formatCode>
                <c:ptCount val="19"/>
                <c:pt idx="0">
                  <c:v>2</c:v>
                </c:pt>
                <c:pt idx="1">
                  <c:v>2</c:v>
                </c:pt>
                <c:pt idx="2">
                  <c:v>0</c:v>
                </c:pt>
                <c:pt idx="3">
                  <c:v>3</c:v>
                </c:pt>
                <c:pt idx="4">
                  <c:v>0</c:v>
                </c:pt>
                <c:pt idx="5">
                  <c:v>1</c:v>
                </c:pt>
                <c:pt idx="6">
                  <c:v>4</c:v>
                </c:pt>
                <c:pt idx="7">
                  <c:v>9</c:v>
                </c:pt>
                <c:pt idx="8">
                  <c:v>36</c:v>
                </c:pt>
                <c:pt idx="9">
                  <c:v>129</c:v>
                </c:pt>
                <c:pt idx="10">
                  <c:v>74</c:v>
                </c:pt>
                <c:pt idx="11">
                  <c:v>71</c:v>
                </c:pt>
                <c:pt idx="12">
                  <c:v>105</c:v>
                </c:pt>
                <c:pt idx="13">
                  <c:v>239</c:v>
                </c:pt>
                <c:pt idx="14">
                  <c:v>332</c:v>
                </c:pt>
                <c:pt idx="15">
                  <c:v>395</c:v>
                </c:pt>
                <c:pt idx="16">
                  <c:v>543</c:v>
                </c:pt>
                <c:pt idx="17">
                  <c:v>579</c:v>
                </c:pt>
                <c:pt idx="18">
                  <c:v>53</c:v>
                </c:pt>
              </c:numCache>
            </c:numRef>
          </c:val>
          <c:smooth val="1"/>
        </c:ser>
        <c:ser>
          <c:idx val="3"/>
          <c:order val="3"/>
          <c:tx>
            <c:strRef>
              <c:f>'Applications by tech'!E4</c:f>
              <c:strCache>
                <c:ptCount val="1"/>
                <c:pt idx="0">
                  <c:v>Offshore wind</c:v>
                </c:pt>
              </c:strCache>
            </c:strRef>
          </c:tx>
          <c:spPr>
            <a:solidFill>
              <a:srgbClr val="7D5FA0"/>
            </a:solidFill>
            <a:ln w="12600">
              <a:solidFill>
                <a:srgbClr val="7D5FA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'Applications by tech'!$A$5:$A$23</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Cache>
            </c:strRef>
          </c:cat>
          <c:val>
            <c:numRef>
              <c:f>'Applications by tech'!$E$5:$E$23</c:f>
              <c:numCache>
                <c:formatCode>General</c:formatCode>
                <c:ptCount val="19"/>
                <c:pt idx="0">
                  <c:v>2</c:v>
                </c:pt>
                <c:pt idx="1">
                  <c:v>5</c:v>
                </c:pt>
                <c:pt idx="2">
                  <c:v>0</c:v>
                </c:pt>
                <c:pt idx="3">
                  <c:v>3</c:v>
                </c:pt>
                <c:pt idx="4">
                  <c:v>9</c:v>
                </c:pt>
                <c:pt idx="5">
                  <c:v>7</c:v>
                </c:pt>
                <c:pt idx="6">
                  <c:v>3</c:v>
                </c:pt>
                <c:pt idx="7">
                  <c:v>4</c:v>
                </c:pt>
                <c:pt idx="8">
                  <c:v>2</c:v>
                </c:pt>
                <c:pt idx="9">
                  <c:v>0</c:v>
                </c:pt>
                <c:pt idx="10">
                  <c:v>7</c:v>
                </c:pt>
                <c:pt idx="11">
                  <c:v>3</c:v>
                </c:pt>
                <c:pt idx="12">
                  <c:v>0</c:v>
                </c:pt>
                <c:pt idx="13">
                  <c:v>2</c:v>
                </c:pt>
                <c:pt idx="14">
                  <c:v>7</c:v>
                </c:pt>
                <c:pt idx="15">
                  <c:v>4</c:v>
                </c:pt>
                <c:pt idx="16">
                  <c:v>13</c:v>
                </c:pt>
                <c:pt idx="17">
                  <c:v>1</c:v>
                </c:pt>
                <c:pt idx="18">
                  <c:v>0</c:v>
                </c:pt>
              </c:numCache>
            </c:numRef>
          </c:val>
          <c:smooth val="1"/>
        </c:ser>
        <c:hiLowLines>
          <c:spPr>
            <a:ln w="0">
              <a:noFill/>
            </a:ln>
          </c:spPr>
        </c:hiLowLines>
        <c:marker val="0"/>
        <c:axId val="92644892"/>
        <c:axId val="12188562"/>
      </c:lineChart>
      <c:catAx>
        <c:axId val="9264489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2188562"/>
        <c:crosses val="autoZero"/>
        <c:auto val="1"/>
        <c:lblAlgn val="ctr"/>
        <c:lblOffset val="100"/>
        <c:noMultiLvlLbl val="0"/>
      </c:catAx>
      <c:valAx>
        <c:axId val="1218856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Applications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64489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Approval rate by council party (all technologies)</a:t>
            </a:r>
          </a:p>
        </c:rich>
      </c:tx>
      <c:overlay val="0"/>
      <c:spPr>
        <a:noFill/>
        <a:ln w="0">
          <a:noFill/>
        </a:ln>
      </c:spPr>
    </c:title>
    <c:autoTitleDeleted val="0"/>
    <c:plotArea>
      <c:barChart>
        <c:barDir val="bar"/>
        <c:grouping val="clustered"/>
        <c:varyColors val="0"/>
        <c:ser>
          <c:idx val="0"/>
          <c:order val="0"/>
          <c:tx>
            <c:strRef>
              <c:f>'Outcomes by council party'!E4</c:f>
              <c:strCache>
                <c:ptCount val="1"/>
                <c:pt idx="0">
                  <c:v>Approval rate</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'Outcomes by council party'!$A$5:$A$13</c:f>
              <c:strCache>
                <c:ptCount val="9"/>
                <c:pt idx="0">
                  <c:v>Con</c:v>
                </c:pt>
                <c:pt idx="1">
                  <c:v>Lab</c:v>
                </c:pt>
                <c:pt idx="2">
                  <c:v>LibDem</c:v>
                </c:pt>
                <c:pt idx="3">
                  <c:v>SNP</c:v>
                </c:pt>
                <c:pt idx="4">
                  <c:v>Plaid</c:v>
                </c:pt>
                <c:pt idx="5">
                  <c:v>Green</c:v>
                </c:pt>
                <c:pt idx="6">
                  <c:v>Reform</c:v>
                </c:pt>
                <c:pt idx="7">
                  <c:v>Other/Ind</c:v>
                </c:pt>
                <c:pt idx="8">
                  <c:v>Nationalist (pre-2007)</c:v>
                </c:pt>
              </c:strCache>
            </c:strRef>
          </c:cat>
          <c:val>
            <c:numRef>
              <c:f>'Outcomes by council party'!$E$5:$E$13</c:f>
              <c:numCache>
                <c:formatCode>0.0%</c:formatCode>
                <c:ptCount val="9"/>
                <c:pt idx="0">
                  <c:v>0.893689986282579</c:v>
                </c:pt>
                <c:pt idx="1">
                  <c:v>0.913781841933377</c:v>
                </c:pt>
                <c:pt idx="2">
                  <c:v>0.895687061183551</c:v>
                </c:pt>
                <c:pt idx="3">
                  <c:v>0.933002481389578</c:v>
                </c:pt>
                <c:pt idx="4">
                  <c:v>0.851851851851852</c:v>
                </c:pt>
                <c:pt idx="5">
                  <c:v>0.909836065573771</c:v>
                </c:pt>
                <c:pt idx="6">
                  <c:v>0.916666666666667</c:v>
                </c:pt>
                <c:pt idx="7">
                  <c:v>0.851518560179978</c:v>
                </c:pt>
                <c:pt idx="8">
                  <c:v>0.654028436018957</c:v>
                </c:pt>
              </c:numCache>
            </c:numRef>
          </c:val>
        </c:ser>
        <c:gapWidth val="150"/>
        <c:overlap val="0"/>
        <c:axId val="99147382"/>
        <c:axId val="43464921"/>
      </c:barChart>
      <c:catAx>
        <c:axId val="9914738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3464921"/>
        <c:crosses val="autoZero"/>
        <c:auto val="1"/>
        <c:lblAlgn val="ctr"/>
        <c:lblOffset val="100"/>
        <c:noMultiLvlLbl val="0"/>
      </c:catAx>
      <c:valAx>
        <c:axId val="43464921"/>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914738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Onshore wind approval rate by council party</a:t>
            </a:r>
          </a:p>
        </c:rich>
      </c:tx>
      <c:overlay val="0"/>
      <c:spPr>
        <a:noFill/>
        <a:ln w="0">
          <a:noFill/>
        </a:ln>
      </c:spPr>
    </c:title>
    <c:autoTitleDeleted val="0"/>
    <c:plotArea>
      <c:barChart>
        <c:barDir val="bar"/>
        <c:grouping val="clustered"/>
        <c:varyColors val="0"/>
        <c:ser>
          <c:idx val="0"/>
          <c:order val="0"/>
          <c:tx>
            <c:strRef>
              <c:f>'Onshore wind by council party'!E4</c:f>
              <c:strCache>
                <c:ptCount val="1"/>
                <c:pt idx="0">
                  <c:v>Approval rate</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'Onshore wind by council party'!$A$5:$A$10</c:f>
              <c:strCache>
                <c:ptCount val="6"/>
                <c:pt idx="0">
                  <c:v>Con</c:v>
                </c:pt>
                <c:pt idx="1">
                  <c:v>Lab</c:v>
                </c:pt>
                <c:pt idx="2">
                  <c:v>LibDem</c:v>
                </c:pt>
                <c:pt idx="3">
                  <c:v>SNP</c:v>
                </c:pt>
                <c:pt idx="4">
                  <c:v>Other/Ind</c:v>
                </c:pt>
                <c:pt idx="5">
                  <c:v>Nationalist (pre-2007)</c:v>
                </c:pt>
              </c:strCache>
            </c:strRef>
          </c:cat>
          <c:val>
            <c:numRef>
              <c:f>'Onshore wind by council party'!$E$5:$E$10</c:f>
              <c:numCache>
                <c:formatCode>0.0%</c:formatCode>
                <c:ptCount val="6"/>
                <c:pt idx="0">
                  <c:v>0.61123595505618</c:v>
                </c:pt>
                <c:pt idx="1">
                  <c:v>0.686131386861314</c:v>
                </c:pt>
                <c:pt idx="2">
                  <c:v>0.712</c:v>
                </c:pt>
                <c:pt idx="3">
                  <c:v>0.75</c:v>
                </c:pt>
                <c:pt idx="4">
                  <c:v>0.706484641638225</c:v>
                </c:pt>
                <c:pt idx="5">
                  <c:v>0.450381679389313</c:v>
                </c:pt>
              </c:numCache>
            </c:numRef>
          </c:val>
        </c:ser>
        <c:gapWidth val="150"/>
        <c:overlap val="0"/>
        <c:axId val="28914060"/>
        <c:axId val="16918963"/>
      </c:barChart>
      <c:catAx>
        <c:axId val="2891406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6918963"/>
        <c:crosses val="autoZero"/>
        <c:auto val="1"/>
        <c:lblAlgn val="ctr"/>
        <c:lblOffset val="100"/>
        <c:noMultiLvlLbl val="0"/>
      </c:catAx>
      <c:valAx>
        <c:axId val="16918963"/>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891406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Approval rate by council party and technology</a:t>
            </a:r>
          </a:p>
        </c:rich>
      </c:tx>
      <c:overlay val="0"/>
      <c:spPr>
        <a:noFill/>
        <a:ln w="0">
          <a:noFill/>
        </a:ln>
      </c:spPr>
    </c:title>
    <c:autoTitleDeleted val="0"/>
    <c:plotArea>
      <c:barChart>
        <c:barDir val="col"/>
        <c:grouping val="clustered"/>
        <c:varyColors val="0"/>
        <c:ser>
          <c:idx val="0"/>
          <c:order val="0"/>
          <c:tx>
            <c:strRef>
              <c:f>'Contested vs uncontested'!B4</c:f>
              <c:strCache>
                <c:ptCount val="1"/>
                <c:pt idx="0">
                  <c:v>Onshore wind</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'Contested vs uncontested'!$A$5:$A$9</c:f>
              <c:strCache>
                <c:ptCount val="5"/>
                <c:pt idx="0">
                  <c:v>Con</c:v>
                </c:pt>
                <c:pt idx="1">
                  <c:v>Lab</c:v>
                </c:pt>
                <c:pt idx="2">
                  <c:v>LibDem</c:v>
                </c:pt>
                <c:pt idx="3">
                  <c:v>SNP</c:v>
                </c:pt>
                <c:pt idx="4">
                  <c:v>Other/Ind</c:v>
                </c:pt>
              </c:strCache>
            </c:strRef>
          </c:cat>
          <c:val>
            <c:numRef>
              <c:f>'Contested vs uncontested'!$B$5:$B$9</c:f>
              <c:numCache>
                <c:formatCode>0.0%</c:formatCode>
                <c:ptCount val="5"/>
                <c:pt idx="0">
                  <c:v>0.611</c:v>
                </c:pt>
                <c:pt idx="1">
                  <c:v>0.686</c:v>
                </c:pt>
                <c:pt idx="2">
                  <c:v>0.712</c:v>
                </c:pt>
                <c:pt idx="3">
                  <c:v>0.75</c:v>
                </c:pt>
                <c:pt idx="4">
                  <c:v>0.706</c:v>
                </c:pt>
              </c:numCache>
            </c:numRef>
          </c:val>
        </c:ser>
        <c:ser>
          <c:idx val="1"/>
          <c:order val="1"/>
          <c:tx>
            <c:strRef>
              <c:f>'Contested vs uncontested'!C4</c:f>
              <c:strCache>
                <c:ptCount val="1"/>
                <c:pt idx="0">
                  <c:v>Solar PV</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'Contested vs uncontested'!$A$5:$A$9</c:f>
              <c:strCache>
                <c:ptCount val="5"/>
                <c:pt idx="0">
                  <c:v>Con</c:v>
                </c:pt>
                <c:pt idx="1">
                  <c:v>Lab</c:v>
                </c:pt>
                <c:pt idx="2">
                  <c:v>LibDem</c:v>
                </c:pt>
                <c:pt idx="3">
                  <c:v>SNP</c:v>
                </c:pt>
                <c:pt idx="4">
                  <c:v>Other/Ind</c:v>
                </c:pt>
              </c:strCache>
            </c:strRef>
          </c:cat>
          <c:val>
            <c:numRef>
              <c:f>'Contested vs uncontested'!$C$5:$C$9</c:f>
              <c:numCache>
                <c:formatCode>0.0%</c:formatCode>
                <c:ptCount val="5"/>
                <c:pt idx="0">
                  <c:v>0.924</c:v>
                </c:pt>
                <c:pt idx="1">
                  <c:v>0.955</c:v>
                </c:pt>
                <c:pt idx="2">
                  <c:v>0.939</c:v>
                </c:pt>
                <c:pt idx="3">
                  <c:v>0.975</c:v>
                </c:pt>
                <c:pt idx="4">
                  <c:v>0.942</c:v>
                </c:pt>
              </c:numCache>
            </c:numRef>
          </c:val>
        </c:ser>
        <c:ser>
          <c:idx val="2"/>
          <c:order val="2"/>
          <c:tx>
            <c:strRef>
              <c:f>'Contested vs uncontested'!D4</c:f>
              <c:strCache>
                <c:ptCount val="1"/>
                <c:pt idx="0">
                  <c:v>Battery</c:v>
                </c:pt>
              </c:strCache>
            </c:strRef>
          </c:tx>
          <c:spPr>
            <a:solidFill>
              <a:srgbClr val="9BBB59"/>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'Contested vs uncontested'!$A$5:$A$9</c:f>
              <c:strCache>
                <c:ptCount val="5"/>
                <c:pt idx="0">
                  <c:v>Con</c:v>
                </c:pt>
                <c:pt idx="1">
                  <c:v>Lab</c:v>
                </c:pt>
                <c:pt idx="2">
                  <c:v>LibDem</c:v>
                </c:pt>
                <c:pt idx="3">
                  <c:v>SNP</c:v>
                </c:pt>
                <c:pt idx="4">
                  <c:v>Other/Ind</c:v>
                </c:pt>
              </c:strCache>
            </c:strRef>
          </c:cat>
          <c:val>
            <c:numRef>
              <c:f>'Contested vs uncontested'!$D$5:$D$9</c:f>
              <c:numCache>
                <c:formatCode>0.0%</c:formatCode>
                <c:ptCount val="5"/>
                <c:pt idx="0">
                  <c:v>0.933</c:v>
                </c:pt>
                <c:pt idx="1">
                  <c:v>0.929</c:v>
                </c:pt>
                <c:pt idx="2">
                  <c:v>0.882</c:v>
                </c:pt>
                <c:pt idx="3">
                  <c:v>0.926</c:v>
                </c:pt>
                <c:pt idx="4">
                  <c:v>0.877</c:v>
                </c:pt>
              </c:numCache>
            </c:numRef>
          </c:val>
        </c:ser>
        <c:gapWidth val="150"/>
        <c:overlap val="0"/>
        <c:axId val="1906598"/>
        <c:axId val="53973405"/>
      </c:barChart>
      <c:catAx>
        <c:axId val="190659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3973405"/>
        <c:crosses val="autoZero"/>
        <c:auto val="1"/>
        <c:lblAlgn val="ctr"/>
        <c:lblOffset val="100"/>
        <c:noMultiLvlLbl val="0"/>
      </c:catAx>
      <c:valAx>
        <c:axId val="53973405"/>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90659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Onshore wind approval by constituency MP party</a:t>
            </a:r>
          </a:p>
        </c:rich>
      </c:tx>
      <c:overlay val="0"/>
      <c:spPr>
        <a:noFill/>
        <a:ln w="0">
          <a:noFill/>
        </a:ln>
      </c:spPr>
    </c:title>
    <c:autoTitleDeleted val="0"/>
    <c:plotArea>
      <c:barChart>
        <c:barDir val="bar"/>
        <c:grouping val="clustered"/>
        <c:varyColors val="0"/>
        <c:ser>
          <c:idx val="0"/>
          <c:order val="0"/>
          <c:tx>
            <c:strRef>
              <c:f>'Outcomes by MP party'!E16</c:f>
              <c:strCache>
                <c:ptCount val="1"/>
                <c:pt idx="0">
                  <c:v>Approval rate</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'Outcomes by MP party'!$A$17:$A$22</c:f>
              <c:strCache>
                <c:ptCount val="6"/>
                <c:pt idx="0">
                  <c:v>Con MP</c:v>
                </c:pt>
                <c:pt idx="1">
                  <c:v>Lab MP</c:v>
                </c:pt>
                <c:pt idx="2">
                  <c:v>LibDem MP</c:v>
                </c:pt>
                <c:pt idx="3">
                  <c:v>SNP MP</c:v>
                </c:pt>
                <c:pt idx="4">
                  <c:v>Plaid MP</c:v>
                </c:pt>
                <c:pt idx="5">
                  <c:v>Other MP</c:v>
                </c:pt>
              </c:strCache>
            </c:strRef>
          </c:cat>
          <c:val>
            <c:numRef>
              <c:f>'Outcomes by MP party'!$E$17:$E$22</c:f>
              <c:numCache>
                <c:formatCode>0.0%</c:formatCode>
                <c:ptCount val="6"/>
                <c:pt idx="0">
                  <c:v>0.808695652173913</c:v>
                </c:pt>
                <c:pt idx="1">
                  <c:v>0.706896551724138</c:v>
                </c:pt>
                <c:pt idx="2">
                  <c:v>0.735294117647059</c:v>
                </c:pt>
                <c:pt idx="3">
                  <c:v>0.692307692307692</c:v>
                </c:pt>
                <c:pt idx="4">
                  <c:v>0.833333333333333</c:v>
                </c:pt>
                <c:pt idx="5">
                  <c:v>0.962264150943396</c:v>
                </c:pt>
              </c:numCache>
            </c:numRef>
          </c:val>
        </c:ser>
        <c:gapWidth val="150"/>
        <c:overlap val="0"/>
        <c:axId val="33910515"/>
        <c:axId val="52712491"/>
      </c:barChart>
      <c:catAx>
        <c:axId val="3391051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712491"/>
        <c:crosses val="autoZero"/>
        <c:auto val="1"/>
        <c:lblAlgn val="ctr"/>
        <c:lblOffset val="100"/>
        <c:noMultiLvlLbl val="0"/>
      </c:catAx>
      <c:valAx>
        <c:axId val="52712491"/>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391051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_rels/drawing6.xml.rels><?xml version="1.0" encoding="UTF-8"?>
<Relationships xmlns="http://schemas.openxmlformats.org/package/2006/relationships"><Relationship Id="rId1" Type="http://schemas.openxmlformats.org/officeDocument/2006/relationships/chart" Target="../charts/chart7.xml"/>
</Relationships>
</file>

<file path=xl/drawings/_rels/drawing7.xml.rels><?xml version="1.0" encoding="UTF-8"?>
<Relationships xmlns="http://schemas.openxmlformats.org/package/2006/relationships"><Relationship Id="rId1" Type="http://schemas.openxmlformats.org/officeDocument/2006/relationships/chart" Target="../charts/chart8.xml"/>
</Relationships>
</file>

<file path=xl/drawings/_rels/drawing8.xml.rels><?xml version="1.0" encoding="UTF-8"?>
<Relationships xmlns="http://schemas.openxmlformats.org/package/2006/relationships"><Relationship Id="rId1" Type="http://schemas.openxmlformats.org/officeDocument/2006/relationships/chart" Target="../charts/chart9.xml"/>
</Relationships>
</file>

<file path=xl/drawings/_rels/drawing9.xml.rels><?xml version="1.0" encoding="UTF-8"?>
<Relationships xmlns="http://schemas.openxmlformats.org/package/2006/relationships"><Relationship Id="rId1" Type="http://schemas.openxmlformats.org/officeDocument/2006/relationships/chart" Target="../charts/chart10.xml"/>
</Relationships>
</file>

<file path=xl/drawings/_rels/drawing10.xml.rels><?xml version="1.0" encoding="UTF-8"?>
<Relationships xmlns="http://schemas.openxmlformats.org/package/2006/relationships"><Relationship Id="rId1" Type="http://schemas.openxmlformats.org/officeDocument/2006/relationships/chart" Target="../charts/chart11.xml"/>
</Relationships>
</file>

<file path=xl/drawings/_rels/drawing11.xml.rels><?xml version="1.0" encoding="UTF-8"?>
<Relationships xmlns="http://schemas.openxmlformats.org/package/2006/relationships"><Relationship Id="rId1" Type="http://schemas.openxmlformats.org/officeDocument/2006/relationships/chart" Target="../charts/chart12.xml"/>
</Relationships>
</file>

<file path=xl/drawings/_rels/drawing12.xml.rels><?xml version="1.0" encoding="UTF-8"?>
<Relationships xmlns="http://schemas.openxmlformats.org/package/2006/relationships"><Relationship Id="rId1"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0</xdr:rowOff>
    </xdr:from>
    <xdr:to>
      <xdr:col>6</xdr:col>
      <xdr:colOff>134640</xdr:colOff>
      <xdr:row>44</xdr:row>
      <xdr:rowOff>20880</xdr:rowOff>
    </xdr:to>
    <xdr:graphicFrame>
      <xdr:nvGraphicFramePr>
        <xdr:cNvPr id="1" name="Chart 1"/>
        <xdr:cNvGraphicFramePr/>
      </xdr:nvGraphicFramePr>
      <xdr:xfrm>
        <a:off x="0" y="5657760"/>
        <a:ext cx="6478200" cy="28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17</xdr:col>
      <xdr:colOff>254520</xdr:colOff>
      <xdr:row>19</xdr:row>
      <xdr:rowOff>77760</xdr:rowOff>
    </xdr:to>
    <xdr:graphicFrame>
      <xdr:nvGraphicFramePr>
        <xdr:cNvPr id="2" name="Chart 1"/>
        <xdr:cNvGraphicFramePr/>
      </xdr:nvGraphicFramePr>
      <xdr:xfrm>
        <a:off x="11325240" y="600120"/>
        <a:ext cx="5758200" cy="3230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16</xdr:col>
      <xdr:colOff>3600</xdr:colOff>
      <xdr:row>21</xdr:row>
      <xdr:rowOff>56880</xdr:rowOff>
    </xdr:to>
    <xdr:graphicFrame>
      <xdr:nvGraphicFramePr>
        <xdr:cNvPr id="3" name="Chart 1"/>
        <xdr:cNvGraphicFramePr/>
      </xdr:nvGraphicFramePr>
      <xdr:xfrm>
        <a:off x="7660080" y="600120"/>
        <a:ext cx="6118560" cy="3590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14</xdr:col>
      <xdr:colOff>507240</xdr:colOff>
      <xdr:row>17</xdr:row>
      <xdr:rowOff>99720</xdr:rowOff>
    </xdr:to>
    <xdr:graphicFrame>
      <xdr:nvGraphicFramePr>
        <xdr:cNvPr id="4" name="Chart 1"/>
        <xdr:cNvGraphicFramePr/>
      </xdr:nvGraphicFramePr>
      <xdr:xfrm>
        <a:off x="6743880" y="600120"/>
        <a:ext cx="539928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12</xdr:row>
      <xdr:rowOff>0</xdr:rowOff>
    </xdr:from>
    <xdr:to>
      <xdr:col>13</xdr:col>
      <xdr:colOff>147240</xdr:colOff>
      <xdr:row>27</xdr:row>
      <xdr:rowOff>21600</xdr:rowOff>
    </xdr:to>
    <xdr:graphicFrame>
      <xdr:nvGraphicFramePr>
        <xdr:cNvPr id="5" name="Chart 2"/>
        <xdr:cNvGraphicFramePr/>
      </xdr:nvGraphicFramePr>
      <xdr:xfrm>
        <a:off x="6132240" y="2419200"/>
        <a:ext cx="50392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14</xdr:col>
      <xdr:colOff>38160</xdr:colOff>
      <xdr:row>18</xdr:row>
      <xdr:rowOff>20880</xdr:rowOff>
    </xdr:to>
    <xdr:graphicFrame>
      <xdr:nvGraphicFramePr>
        <xdr:cNvPr id="6" name="Chart 1"/>
        <xdr:cNvGraphicFramePr/>
      </xdr:nvGraphicFramePr>
      <xdr:xfrm>
        <a:off x="7941960" y="600120"/>
        <a:ext cx="4318560" cy="287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18</xdr:col>
      <xdr:colOff>363240</xdr:colOff>
      <xdr:row>19</xdr:row>
      <xdr:rowOff>77760</xdr:rowOff>
    </xdr:to>
    <xdr:graphicFrame>
      <xdr:nvGraphicFramePr>
        <xdr:cNvPr id="7" name="Chart 1"/>
        <xdr:cNvGraphicFramePr/>
      </xdr:nvGraphicFramePr>
      <xdr:xfrm>
        <a:off x="6955200" y="600120"/>
        <a:ext cx="6478200" cy="3230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17</xdr:col>
      <xdr:colOff>471960</xdr:colOff>
      <xdr:row>21</xdr:row>
      <xdr:rowOff>169200</xdr:rowOff>
    </xdr:to>
    <xdr:graphicFrame>
      <xdr:nvGraphicFramePr>
        <xdr:cNvPr id="8" name="Chart 1"/>
        <xdr:cNvGraphicFramePr/>
      </xdr:nvGraphicFramePr>
      <xdr:xfrm>
        <a:off x="4699800" y="600120"/>
        <a:ext cx="7198200" cy="35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17</xdr:col>
      <xdr:colOff>471960</xdr:colOff>
      <xdr:row>21</xdr:row>
      <xdr:rowOff>169200</xdr:rowOff>
    </xdr:to>
    <xdr:graphicFrame>
      <xdr:nvGraphicFramePr>
        <xdr:cNvPr id="9" name="Chart 1"/>
        <xdr:cNvGraphicFramePr/>
      </xdr:nvGraphicFramePr>
      <xdr:xfrm>
        <a:off x="4699800" y="600120"/>
        <a:ext cx="7198200" cy="35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16</xdr:col>
      <xdr:colOff>506880</xdr:colOff>
      <xdr:row>17</xdr:row>
      <xdr:rowOff>99360</xdr:rowOff>
    </xdr:to>
    <xdr:graphicFrame>
      <xdr:nvGraphicFramePr>
        <xdr:cNvPr id="10" name="Chart 1"/>
        <xdr:cNvGraphicFramePr/>
      </xdr:nvGraphicFramePr>
      <xdr:xfrm>
        <a:off x="8153280" y="600120"/>
        <a:ext cx="5398920" cy="2871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16</xdr:col>
      <xdr:colOff>506880</xdr:colOff>
      <xdr:row>17</xdr:row>
      <xdr:rowOff>99360</xdr:rowOff>
    </xdr:to>
    <xdr:graphicFrame>
      <xdr:nvGraphicFramePr>
        <xdr:cNvPr id="11" name="Chart 1"/>
        <xdr:cNvGraphicFramePr/>
      </xdr:nvGraphicFramePr>
      <xdr:xfrm>
        <a:off x="8153280" y="600120"/>
        <a:ext cx="5398920" cy="2871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14</xdr:col>
      <xdr:colOff>255240</xdr:colOff>
      <xdr:row>20</xdr:row>
      <xdr:rowOff>360</xdr:rowOff>
    </xdr:to>
    <xdr:graphicFrame>
      <xdr:nvGraphicFramePr>
        <xdr:cNvPr id="12" name="Chart 1"/>
        <xdr:cNvGraphicFramePr/>
      </xdr:nvGraphicFramePr>
      <xdr:xfrm>
        <a:off x="4417560" y="600120"/>
        <a:ext cx="575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14</xdr:row>
      <xdr:rowOff>0</xdr:rowOff>
    </xdr:from>
    <xdr:to>
      <xdr:col>15</xdr:col>
      <xdr:colOff>147600</xdr:colOff>
      <xdr:row>28</xdr:row>
      <xdr:rowOff>100080</xdr:rowOff>
    </xdr:to>
    <xdr:graphicFrame>
      <xdr:nvGraphicFramePr>
        <xdr:cNvPr id="13" name="Chart 1"/>
        <xdr:cNvGraphicFramePr/>
      </xdr:nvGraphicFramePr>
      <xdr:xfrm>
        <a:off x="7166520" y="28090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6.xml.rels><?xml version="1.0" encoding="UTF-8"?>
<Relationships xmlns="http://schemas.openxmlformats.org/package/2006/relationships"><Relationship Id="rId1" Type="http://schemas.openxmlformats.org/officeDocument/2006/relationships/drawing" Target="../drawings/drawing9.xml"/>
</Relationships>
</file>

<file path=xl/worksheets/_rels/sheet17.xml.rels><?xml version="1.0" encoding="UTF-8"?>
<Relationships xmlns="http://schemas.openxmlformats.org/package/2006/relationships"><Relationship Id="rId1" Type="http://schemas.openxmlformats.org/officeDocument/2006/relationships/drawing" Target="../drawings/drawing10.xml"/>
</Relationships>
</file>

<file path=xl/worksheets/_rels/sheet18.xml.rels><?xml version="1.0" encoding="UTF-8"?>
<Relationships xmlns="http://schemas.openxmlformats.org/package/2006/relationships"><Relationship Id="rId1" Type="http://schemas.openxmlformats.org/officeDocument/2006/relationships/drawing" Target="../drawings/drawing11.xml"/>
</Relationships>
</file>

<file path=xl/worksheets/_rels/sheet21.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1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t="s">
        <v>3</v>
      </c>
    </row>
    <row r="5" customFormat="false" ht="15" hidden="false" customHeight="true" outlineLevel="0" collapsed="false">
      <c r="A5" s="4" t="s">
        <v>4</v>
      </c>
      <c r="B5" s="5" t="s">
        <v>5</v>
      </c>
    </row>
    <row r="6" customFormat="false" ht="15" hidden="false" customHeight="true" outlineLevel="0" collapsed="false">
      <c r="A6" s="4" t="s">
        <v>6</v>
      </c>
      <c r="B6" s="5" t="s">
        <v>7</v>
      </c>
    </row>
    <row r="7" customFormat="false" ht="15" hidden="false" customHeight="true" outlineLevel="0" collapsed="false">
      <c r="A7" s="4"/>
      <c r="B7" s="5"/>
    </row>
    <row r="8" customFormat="false" ht="23.25" hidden="false" customHeight="true" outlineLevel="0" collapsed="false">
      <c r="A8" s="4" t="s">
        <v>8</v>
      </c>
      <c r="B8" s="5" t="s">
        <v>9</v>
      </c>
    </row>
    <row r="9" customFormat="false" ht="15" hidden="false" customHeight="true" outlineLevel="0" collapsed="false">
      <c r="A9" s="4"/>
      <c r="B9" s="5"/>
    </row>
    <row r="10" customFormat="false" ht="15" hidden="false" customHeight="true" outlineLevel="0" collapsed="false">
      <c r="A10" s="4" t="s">
        <v>10</v>
      </c>
      <c r="B10" s="5"/>
    </row>
    <row r="11" customFormat="false" ht="23.25" hidden="false" customHeight="true" outlineLevel="0" collapsed="false">
      <c r="A11" s="4" t="s">
        <v>11</v>
      </c>
      <c r="B11" s="5" t="s">
        <v>12</v>
      </c>
    </row>
    <row r="12" customFormat="false" ht="15" hidden="false" customHeight="true" outlineLevel="0" collapsed="false">
      <c r="A12" s="4" t="s">
        <v>13</v>
      </c>
      <c r="B12" s="5" t="s">
        <v>14</v>
      </c>
    </row>
    <row r="13" customFormat="false" ht="15" hidden="false" customHeight="true" outlineLevel="0" collapsed="false">
      <c r="A13" s="4" t="s">
        <v>15</v>
      </c>
      <c r="B13" s="5" t="s">
        <v>16</v>
      </c>
    </row>
    <row r="14" customFormat="false" ht="15" hidden="false" customHeight="true" outlineLevel="0" collapsed="false">
      <c r="A14" s="4" t="s">
        <v>17</v>
      </c>
      <c r="B14" s="5" t="s">
        <v>18</v>
      </c>
    </row>
    <row r="15" customFormat="false" ht="15" hidden="false" customHeight="true" outlineLevel="0" collapsed="false">
      <c r="A15" s="4" t="s">
        <v>19</v>
      </c>
      <c r="B15" s="5" t="s">
        <v>20</v>
      </c>
    </row>
    <row r="16" customFormat="false" ht="15" hidden="false" customHeight="true" outlineLevel="0" collapsed="false">
      <c r="A16" s="4" t="s">
        <v>21</v>
      </c>
      <c r="B16" s="5" t="s">
        <v>22</v>
      </c>
    </row>
    <row r="17" customFormat="false" ht="15" hidden="false" customHeight="true" outlineLevel="0" collapsed="false">
      <c r="A17" s="4" t="s">
        <v>23</v>
      </c>
      <c r="B17" s="5" t="s">
        <v>24</v>
      </c>
    </row>
    <row r="18" customFormat="false" ht="15" hidden="false" customHeight="true" outlineLevel="0" collapsed="false">
      <c r="A18" s="4" t="s">
        <v>25</v>
      </c>
      <c r="B18" s="5" t="s">
        <v>26</v>
      </c>
    </row>
    <row r="19" customFormat="false" ht="23.25" hidden="false" customHeight="true" outlineLevel="0" collapsed="false">
      <c r="A19" s="4" t="s">
        <v>27</v>
      </c>
      <c r="B19" s="5" t="s">
        <v>28</v>
      </c>
    </row>
    <row r="20" customFormat="false" ht="15" hidden="false" customHeight="true" outlineLevel="0" collapsed="false">
      <c r="A20" s="4"/>
      <c r="B20" s="5"/>
    </row>
    <row r="21" customFormat="false" ht="15" hidden="false" customHeight="true" outlineLevel="0" collapsed="false">
      <c r="A21" s="4" t="s">
        <v>29</v>
      </c>
      <c r="B21" s="5"/>
    </row>
    <row r="22" customFormat="false" ht="23.25" hidden="false" customHeight="true" outlineLevel="0" collapsed="false">
      <c r="A22" s="4" t="s">
        <v>30</v>
      </c>
      <c r="B22" s="5" t="s">
        <v>31</v>
      </c>
    </row>
    <row r="23" customFormat="false" ht="23.25" hidden="false" customHeight="true" outlineLevel="0" collapsed="false">
      <c r="A23" s="4" t="s">
        <v>32</v>
      </c>
      <c r="B23" s="5" t="s">
        <v>33</v>
      </c>
    </row>
    <row r="24" customFormat="false" ht="23.25" hidden="false" customHeight="true" outlineLevel="0" collapsed="false">
      <c r="A24" s="4" t="s">
        <v>34</v>
      </c>
      <c r="B24" s="5" t="s">
        <v>35</v>
      </c>
    </row>
    <row r="25" customFormat="false" ht="15" hidden="false" customHeight="true" outlineLevel="0" collapsed="false">
      <c r="A25" s="4"/>
      <c r="B25" s="5"/>
    </row>
    <row r="26" customFormat="false" ht="23.25" hidden="false" customHeight="true" outlineLevel="0" collapsed="false">
      <c r="A26" s="4" t="s">
        <v>36</v>
      </c>
      <c r="B26" s="5" t="s">
        <v>37</v>
      </c>
    </row>
    <row r="28" customFormat="false" ht="15" hidden="false" customHeight="true" outlineLevel="0" collapsed="false">
      <c r="A28" s="4" t="s">
        <v>38</v>
      </c>
      <c r="B28" s="5"/>
    </row>
    <row r="29" customFormat="false" ht="23.25" hidden="false" customHeight="true" outlineLevel="0" collapsed="false">
      <c r="A29" s="4" t="s">
        <v>39</v>
      </c>
      <c r="B29" s="5" t="s">
        <v>40</v>
      </c>
    </row>
    <row r="30" customFormat="false" ht="23.25" hidden="false" customHeight="true" outlineLevel="0" collapsed="false">
      <c r="A30" s="4" t="s">
        <v>41</v>
      </c>
      <c r="B30" s="5" t="s">
        <v>42</v>
      </c>
    </row>
    <row r="31" customFormat="false" ht="23.25" hidden="false" customHeight="true" outlineLevel="0" collapsed="false">
      <c r="A31" s="4" t="s">
        <v>43</v>
      </c>
      <c r="B31" s="5" t="s">
        <v>44</v>
      </c>
    </row>
    <row r="32" customFormat="false" ht="15" hidden="false" customHeight="true" outlineLevel="0" collapsed="false">
      <c r="A32" s="4" t="s">
        <v>45</v>
      </c>
      <c r="B32" s="5" t="s">
        <v>46</v>
      </c>
    </row>
    <row r="33" customFormat="false" ht="15" hidden="false" customHeight="true" outlineLevel="0" collapsed="false">
      <c r="A33" s="4" t="s">
        <v>47</v>
      </c>
      <c r="B33" s="5"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16"/>
    <col collapsed="false" customWidth="true" hidden="false" outlineLevel="0" max="4" min="4" style="1" width="14"/>
    <col collapsed="false" customWidth="true" hidden="false" outlineLevel="0" max="5" min="5" style="1" width="18"/>
  </cols>
  <sheetData>
    <row r="1" customFormat="false" ht="17.25" hidden="false" customHeight="true" outlineLevel="0" collapsed="false">
      <c r="A1" s="2" t="s">
        <v>49</v>
      </c>
    </row>
    <row r="2" customFormat="false" ht="15" hidden="false" customHeight="true" outlineLevel="0" collapsed="false">
      <c r="A2" s="3" t="s">
        <v>50</v>
      </c>
    </row>
    <row r="4" customFormat="false" ht="15" hidden="false" customHeight="true" outlineLevel="0" collapsed="false">
      <c r="A4" s="6" t="s">
        <v>51</v>
      </c>
      <c r="B4" s="6" t="s">
        <v>52</v>
      </c>
      <c r="C4" s="6" t="s">
        <v>53</v>
      </c>
      <c r="D4" s="6" t="s">
        <v>54</v>
      </c>
      <c r="E4" s="6" t="s">
        <v>55</v>
      </c>
    </row>
    <row r="5" customFormat="false" ht="15" hidden="false" customHeight="true" outlineLevel="0" collapsed="false">
      <c r="A5" s="7" t="s">
        <v>56</v>
      </c>
      <c r="B5" s="8" t="n">
        <v>14316</v>
      </c>
      <c r="C5" s="8" t="n">
        <v>375025</v>
      </c>
      <c r="D5" s="9" t="n">
        <f aca="false">C5/1000</f>
        <v>375.025</v>
      </c>
      <c r="E5" s="10" t="n">
        <f aca="false">B5/$B$5</f>
        <v>1</v>
      </c>
    </row>
    <row r="6" customFormat="false" ht="15" hidden="false" customHeight="true" outlineLevel="0" collapsed="false">
      <c r="A6" s="11" t="s">
        <v>57</v>
      </c>
      <c r="B6" s="12" t="n">
        <v>10000</v>
      </c>
      <c r="C6" s="12" t="n">
        <v>234053</v>
      </c>
      <c r="D6" s="13" t="n">
        <f aca="false">C6/1000</f>
        <v>234.053</v>
      </c>
      <c r="E6" s="14" t="n">
        <f aca="false">B6/$B$5</f>
        <v>0.69851913942442</v>
      </c>
    </row>
    <row r="7" customFormat="false" ht="15" hidden="false" customHeight="true" outlineLevel="0" collapsed="false">
      <c r="A7" s="11" t="s">
        <v>58</v>
      </c>
      <c r="B7" s="12" t="n">
        <v>3576</v>
      </c>
      <c r="C7" s="12" t="n">
        <v>80191</v>
      </c>
      <c r="D7" s="13" t="n">
        <f aca="false">C7/1000</f>
        <v>80.191</v>
      </c>
      <c r="E7" s="14" t="n">
        <f aca="false">B7/$B$5</f>
        <v>0.249790444258173</v>
      </c>
    </row>
    <row r="8" customFormat="false" ht="15" hidden="false" customHeight="true" outlineLevel="0" collapsed="false">
      <c r="A8" s="11" t="s">
        <v>15</v>
      </c>
      <c r="B8" s="12" t="n">
        <v>3134</v>
      </c>
      <c r="C8" s="12" t="n">
        <v>57954</v>
      </c>
      <c r="D8" s="13" t="n">
        <f aca="false">C8/1000</f>
        <v>57.954</v>
      </c>
      <c r="E8" s="14" t="n">
        <f aca="false">B8/$B$5</f>
        <v>0.218915898295613</v>
      </c>
    </row>
    <row r="9" customFormat="false" ht="15" hidden="false" customHeight="true" outlineLevel="0" collapsed="false">
      <c r="A9" s="11" t="s">
        <v>59</v>
      </c>
      <c r="B9" s="12" t="n">
        <v>32</v>
      </c>
      <c r="C9" s="12"/>
      <c r="D9" s="13"/>
      <c r="E9" s="14" t="n">
        <f aca="false">B9/$B$5</f>
        <v>0.00223526124615814</v>
      </c>
    </row>
    <row r="10" customFormat="false" ht="15" hidden="false" customHeight="true" outlineLevel="0" collapsed="false">
      <c r="A10" s="11" t="s">
        <v>17</v>
      </c>
      <c r="B10" s="12" t="n">
        <v>1214</v>
      </c>
      <c r="C10" s="12" t="n">
        <v>23051</v>
      </c>
      <c r="D10" s="13" t="n">
        <f aca="false">C10/1000</f>
        <v>23.051</v>
      </c>
      <c r="E10" s="14" t="n">
        <f aca="false">B10/$B$5</f>
        <v>0.0848002235261246</v>
      </c>
    </row>
    <row r="11" customFormat="false" ht="15" hidden="false" customHeight="true" outlineLevel="0" collapsed="false">
      <c r="A11" s="11" t="s">
        <v>60</v>
      </c>
      <c r="B11" s="12" t="n">
        <v>696</v>
      </c>
      <c r="C11" s="12" t="n">
        <v>13911</v>
      </c>
      <c r="D11" s="13" t="n">
        <f aca="false">C11/1000</f>
        <v>13.911</v>
      </c>
      <c r="E11" s="14" t="n">
        <f aca="false">B11/$B$5</f>
        <v>0.0486169321039397</v>
      </c>
    </row>
    <row r="12" customFormat="false" ht="15" hidden="false" customHeight="true" outlineLevel="0" collapsed="false">
      <c r="A12" s="11" t="s">
        <v>21</v>
      </c>
      <c r="B12" s="12" t="n">
        <v>387</v>
      </c>
      <c r="C12" s="12"/>
      <c r="D12" s="13"/>
      <c r="E12" s="14" t="n">
        <f aca="false">B12/$B$5</f>
        <v>0.0270326906957251</v>
      </c>
    </row>
    <row r="13" customFormat="false" ht="15" hidden="false" customHeight="true" outlineLevel="0" collapsed="false">
      <c r="A13" s="11" t="s">
        <v>61</v>
      </c>
      <c r="B13" s="12" t="n">
        <v>336</v>
      </c>
      <c r="C13" s="12"/>
      <c r="D13" s="13"/>
      <c r="E13" s="14" t="n">
        <f aca="false">B13/$B$5</f>
        <v>0.0234702430846605</v>
      </c>
    </row>
    <row r="14" customFormat="false" ht="15" hidden="false" customHeight="true" outlineLevel="0" collapsed="false">
      <c r="A14" s="15" t="s">
        <v>62</v>
      </c>
      <c r="B14" s="16" t="n">
        <v>1689</v>
      </c>
      <c r="C14" s="16" t="n">
        <v>88534</v>
      </c>
      <c r="D14" s="17" t="n">
        <f aca="false">C14/1000</f>
        <v>88.534</v>
      </c>
      <c r="E14" s="18" t="n">
        <f aca="false">B14/$B$5</f>
        <v>0.117979882648785</v>
      </c>
    </row>
    <row r="17" customFormat="false" ht="15" hidden="false" customHeight="true" outlineLevel="0" collapsed="false">
      <c r="A17" s="19" t="s">
        <v>63</v>
      </c>
    </row>
    <row r="18" customFormat="false" ht="15" hidden="false" customHeight="true" outlineLevel="0" collapsed="false">
      <c r="A18" s="20" t="s">
        <v>64</v>
      </c>
      <c r="B18" s="21" t="s">
        <v>65</v>
      </c>
      <c r="C18" s="22" t="s">
        <v>66</v>
      </c>
    </row>
    <row r="19" customFormat="false" ht="15" hidden="false" customHeight="true" outlineLevel="0" collapsed="false">
      <c r="A19" s="20" t="s">
        <v>67</v>
      </c>
      <c r="B19" s="21" t="s">
        <v>68</v>
      </c>
      <c r="C19" s="22" t="s">
        <v>69</v>
      </c>
    </row>
    <row r="20" customFormat="false" ht="15" hidden="false" customHeight="true" outlineLevel="0" collapsed="false">
      <c r="A20" s="20" t="s">
        <v>70</v>
      </c>
      <c r="B20" s="21" t="s">
        <v>71</v>
      </c>
      <c r="C20" s="22" t="s">
        <v>72</v>
      </c>
    </row>
    <row r="21" customFormat="false" ht="15" hidden="false" customHeight="true" outlineLevel="0" collapsed="false">
      <c r="A21" s="20" t="s">
        <v>73</v>
      </c>
      <c r="B21" s="21" t="s">
        <v>74</v>
      </c>
      <c r="C21" s="22" t="s">
        <v>75</v>
      </c>
    </row>
    <row r="23" customFormat="false" ht="15" hidden="false" customHeight="true" outlineLevel="0" collapsed="false">
      <c r="A23" s="19" t="s">
        <v>76</v>
      </c>
    </row>
    <row r="24" customFormat="false" ht="15" hidden="false" customHeight="true" outlineLevel="0" collapsed="false">
      <c r="A24" s="6" t="s">
        <v>77</v>
      </c>
      <c r="B24" s="6" t="s">
        <v>52</v>
      </c>
      <c r="C24" s="6" t="s">
        <v>53</v>
      </c>
    </row>
    <row r="25" customFormat="false" ht="15" hidden="false" customHeight="true" outlineLevel="0" collapsed="false">
      <c r="A25" s="1" t="s">
        <v>78</v>
      </c>
      <c r="B25" s="12" t="n">
        <v>809</v>
      </c>
      <c r="C25" s="12" t="n">
        <v>46474</v>
      </c>
    </row>
    <row r="26" customFormat="false" ht="15" hidden="false" customHeight="true" outlineLevel="0" collapsed="false">
      <c r="A26" s="1" t="s">
        <v>79</v>
      </c>
      <c r="B26" s="12" t="n">
        <v>399</v>
      </c>
      <c r="C26" s="12" t="n">
        <v>25744</v>
      </c>
    </row>
    <row r="27" customFormat="false" ht="15" hidden="false" customHeight="true" outlineLevel="0" collapsed="false">
      <c r="A27" s="1" t="s">
        <v>80</v>
      </c>
      <c r="B27" s="12" t="n">
        <v>173</v>
      </c>
      <c r="C27" s="12" t="n">
        <v>6699</v>
      </c>
    </row>
    <row r="28" customFormat="false" ht="15" hidden="false" customHeight="true" outlineLevel="0" collapsed="false">
      <c r="A28" s="23" t="s">
        <v>81</v>
      </c>
      <c r="B28" s="16" t="n">
        <v>214</v>
      </c>
      <c r="C28" s="16" t="n">
        <v>7417</v>
      </c>
    </row>
    <row r="29" customFormat="false" ht="15" hidden="false" customHeight="true" outlineLevel="0" collapsed="false">
      <c r="A29" s="23" t="s">
        <v>82</v>
      </c>
      <c r="B29" s="16" t="n">
        <v>92</v>
      </c>
      <c r="C29" s="16" t="n">
        <v>2200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17" min="2" style="1" width="12"/>
    <col collapsed="false" customWidth="true" hidden="false" outlineLevel="0" max="18" min="18" style="1" width="14"/>
  </cols>
  <sheetData>
    <row r="1" customFormat="false" ht="17.25" hidden="false" customHeight="true" outlineLevel="0" collapsed="false">
      <c r="A1" s="2" t="s">
        <v>83</v>
      </c>
    </row>
    <row r="2" customFormat="false" ht="15" hidden="false" customHeight="true" outlineLevel="0" collapsed="false">
      <c r="A2" s="3" t="s">
        <v>84</v>
      </c>
    </row>
    <row r="4" customFormat="false" ht="23.25" hidden="false" customHeight="true" outlineLevel="0" collapsed="false">
      <c r="A4" s="6" t="s">
        <v>85</v>
      </c>
      <c r="B4" s="6" t="s">
        <v>52</v>
      </c>
      <c r="C4" s="6" t="s">
        <v>53</v>
      </c>
      <c r="D4" s="6" t="s">
        <v>11</v>
      </c>
      <c r="E4" s="6" t="s">
        <v>86</v>
      </c>
      <c r="F4" s="6" t="s">
        <v>13</v>
      </c>
      <c r="G4" s="6" t="s">
        <v>87</v>
      </c>
      <c r="H4" s="6" t="s">
        <v>15</v>
      </c>
      <c r="I4" s="6" t="s">
        <v>17</v>
      </c>
      <c r="J4" s="6" t="s">
        <v>19</v>
      </c>
      <c r="K4" s="6" t="s">
        <v>21</v>
      </c>
      <c r="L4" s="6" t="s">
        <v>88</v>
      </c>
      <c r="M4" s="6" t="s">
        <v>23</v>
      </c>
      <c r="N4" s="6" t="s">
        <v>89</v>
      </c>
      <c r="O4" s="6" t="s">
        <v>90</v>
      </c>
      <c r="P4" s="6" t="s">
        <v>91</v>
      </c>
      <c r="Q4" s="6" t="s">
        <v>25</v>
      </c>
      <c r="R4" s="6" t="s">
        <v>92</v>
      </c>
    </row>
    <row r="5" customFormat="false" ht="15" hidden="false" customHeight="true" outlineLevel="0" collapsed="false">
      <c r="A5" s="11" t="s">
        <v>93</v>
      </c>
      <c r="B5" s="12" t="n">
        <v>7235</v>
      </c>
      <c r="C5" s="12" t="n">
        <v>64075</v>
      </c>
      <c r="D5" s="12" t="n">
        <v>5629</v>
      </c>
      <c r="E5" s="12" t="n">
        <v>40636</v>
      </c>
      <c r="F5" s="12" t="n">
        <v>1607</v>
      </c>
      <c r="G5" s="12" t="n">
        <v>13733</v>
      </c>
      <c r="H5" s="12" t="n">
        <v>1394</v>
      </c>
      <c r="I5" s="12" t="n">
        <v>381</v>
      </c>
      <c r="J5" s="12" t="n">
        <v>183</v>
      </c>
      <c r="K5" s="12" t="n">
        <v>130</v>
      </c>
      <c r="L5" s="12" t="n">
        <v>136</v>
      </c>
      <c r="M5" s="12" t="n">
        <v>747</v>
      </c>
      <c r="N5" s="12" t="n">
        <v>15948</v>
      </c>
      <c r="O5" s="12" t="n">
        <v>0</v>
      </c>
      <c r="P5" s="14" t="n">
        <v>0.014</v>
      </c>
      <c r="Q5" s="14" t="n">
        <f aca="false">IF((D5+I5)=0,"",D5/(D5+I5))</f>
        <v>0.936605657237937</v>
      </c>
      <c r="R5" s="14" t="n">
        <f aca="false">IF(D5=0,"",F5/D5)</f>
        <v>0.285485876709895</v>
      </c>
    </row>
    <row r="6" customFormat="false" ht="15" hidden="false" customHeight="true" outlineLevel="0" collapsed="false">
      <c r="A6" s="24" t="s">
        <v>94</v>
      </c>
      <c r="B6" s="25" t="n">
        <v>2725</v>
      </c>
      <c r="C6" s="25" t="n">
        <v>61547</v>
      </c>
      <c r="D6" s="25" t="n">
        <v>1338</v>
      </c>
      <c r="E6" s="25" t="n">
        <v>27829</v>
      </c>
      <c r="F6" s="25" t="n">
        <v>827</v>
      </c>
      <c r="G6" s="25" t="n">
        <v>17485</v>
      </c>
      <c r="H6" s="25" t="n">
        <v>785</v>
      </c>
      <c r="I6" s="25" t="n">
        <v>583</v>
      </c>
      <c r="J6" s="25" t="n">
        <v>312</v>
      </c>
      <c r="K6" s="25" t="n">
        <v>54</v>
      </c>
      <c r="L6" s="25" t="n">
        <v>56</v>
      </c>
      <c r="M6" s="25" t="n">
        <v>307</v>
      </c>
      <c r="N6" s="25" t="n">
        <v>11763</v>
      </c>
      <c r="O6" s="25" t="n">
        <v>7</v>
      </c>
      <c r="P6" s="26" t="n">
        <v>0.132</v>
      </c>
      <c r="Q6" s="26" t="n">
        <f aca="false">IF((D6+I6)=0,"",D6/(D6+I6))</f>
        <v>0.696512233211869</v>
      </c>
      <c r="R6" s="26" t="n">
        <f aca="false">IF(D6=0,"",F6/D6)</f>
        <v>0.618086696562033</v>
      </c>
    </row>
    <row r="7" customFormat="false" ht="15" hidden="false" customHeight="true" outlineLevel="0" collapsed="false">
      <c r="A7" s="11" t="s">
        <v>95</v>
      </c>
      <c r="B7" s="12" t="n">
        <v>2605</v>
      </c>
      <c r="C7" s="12" t="n">
        <v>144573</v>
      </c>
      <c r="D7" s="12" t="n">
        <v>1642</v>
      </c>
      <c r="E7" s="12" t="n">
        <v>82998</v>
      </c>
      <c r="F7" s="12" t="n">
        <v>294</v>
      </c>
      <c r="G7" s="12" t="n">
        <v>12397</v>
      </c>
      <c r="H7" s="12" t="n">
        <v>180</v>
      </c>
      <c r="I7" s="12" t="n">
        <v>141</v>
      </c>
      <c r="J7" s="12" t="n">
        <v>97</v>
      </c>
      <c r="K7" s="12" t="n">
        <v>48</v>
      </c>
      <c r="L7" s="12" t="n">
        <v>64</v>
      </c>
      <c r="M7" s="12" t="n">
        <v>546</v>
      </c>
      <c r="N7" s="12" t="n">
        <v>46424</v>
      </c>
      <c r="O7" s="12" t="n">
        <v>8</v>
      </c>
      <c r="P7" s="14" t="n">
        <v>0.104</v>
      </c>
      <c r="Q7" s="14" t="n">
        <f aca="false">IF((D7+I7)=0,"",D7/(D7+I7))</f>
        <v>0.920919798093102</v>
      </c>
      <c r="R7" s="14" t="n">
        <f aca="false">IF(D7=0,"",F7/D7)</f>
        <v>0.17904993909866</v>
      </c>
    </row>
    <row r="8" customFormat="false" ht="15" hidden="false" customHeight="true" outlineLevel="0" collapsed="false">
      <c r="A8" s="11" t="s">
        <v>96</v>
      </c>
      <c r="B8" s="12" t="n">
        <v>383</v>
      </c>
      <c r="C8" s="12" t="n">
        <v>784</v>
      </c>
      <c r="D8" s="12" t="n">
        <v>273</v>
      </c>
      <c r="E8" s="12" t="n">
        <v>613</v>
      </c>
      <c r="F8" s="12" t="n">
        <v>163</v>
      </c>
      <c r="G8" s="12" t="n">
        <v>352</v>
      </c>
      <c r="H8" s="12" t="n">
        <v>151</v>
      </c>
      <c r="I8" s="12" t="n">
        <v>36</v>
      </c>
      <c r="J8" s="12" t="n">
        <v>24</v>
      </c>
      <c r="K8" s="12" t="n">
        <v>31</v>
      </c>
      <c r="L8" s="12" t="n">
        <v>16</v>
      </c>
      <c r="M8" s="12" t="n">
        <v>35</v>
      </c>
      <c r="N8" s="12" t="n">
        <v>13</v>
      </c>
      <c r="O8" s="12" t="n">
        <v>0</v>
      </c>
      <c r="P8" s="14" t="n">
        <v>0.003</v>
      </c>
      <c r="Q8" s="14" t="n">
        <f aca="false">IF((D8+I8)=0,"",D8/(D8+I8))</f>
        <v>0.883495145631068</v>
      </c>
      <c r="R8" s="14" t="n">
        <f aca="false">IF(D8=0,"",F8/D8)</f>
        <v>0.597069597069597</v>
      </c>
    </row>
    <row r="9" customFormat="false" ht="15" hidden="false" customHeight="true" outlineLevel="0" collapsed="false">
      <c r="A9" s="11" t="s">
        <v>97</v>
      </c>
      <c r="B9" s="12" t="n">
        <v>293</v>
      </c>
      <c r="C9" s="12" t="n">
        <v>841</v>
      </c>
      <c r="D9" s="12" t="n">
        <v>284</v>
      </c>
      <c r="E9" s="12" t="n">
        <v>808</v>
      </c>
      <c r="F9" s="12" t="n">
        <v>272</v>
      </c>
      <c r="G9" s="12" t="n">
        <v>758</v>
      </c>
      <c r="H9" s="12" t="n">
        <v>272</v>
      </c>
      <c r="I9" s="12" t="n">
        <v>1</v>
      </c>
      <c r="J9" s="12" t="n">
        <v>5</v>
      </c>
      <c r="K9" s="12" t="n">
        <v>5</v>
      </c>
      <c r="L9" s="12" t="n">
        <v>3</v>
      </c>
      <c r="M9" s="12" t="n">
        <v>2</v>
      </c>
      <c r="N9" s="12" t="n">
        <v>2</v>
      </c>
      <c r="O9" s="12" t="n">
        <v>2</v>
      </c>
      <c r="P9" s="14" t="n">
        <v>0</v>
      </c>
      <c r="Q9" s="14" t="n">
        <f aca="false">IF((D9+I9)=0,"",D9/(D9+I9))</f>
        <v>0.996491228070175</v>
      </c>
      <c r="R9" s="14" t="n">
        <f aca="false">IF(D9=0,"",F9/D9)</f>
        <v>0.957746478873239</v>
      </c>
    </row>
    <row r="10" customFormat="false" ht="15" hidden="false" customHeight="true" outlineLevel="0" collapsed="false">
      <c r="A10" s="11" t="s">
        <v>98</v>
      </c>
      <c r="B10" s="12" t="n">
        <v>286</v>
      </c>
      <c r="C10" s="12" t="n">
        <v>9707</v>
      </c>
      <c r="D10" s="12" t="n">
        <v>235</v>
      </c>
      <c r="E10" s="12" t="n">
        <v>8437</v>
      </c>
      <c r="F10" s="12" t="n">
        <v>90</v>
      </c>
      <c r="G10" s="12" t="n">
        <v>4287</v>
      </c>
      <c r="H10" s="12" t="n">
        <v>82</v>
      </c>
      <c r="I10" s="12" t="n">
        <v>19</v>
      </c>
      <c r="J10" s="12" t="n">
        <v>21</v>
      </c>
      <c r="K10" s="12" t="n">
        <v>63</v>
      </c>
      <c r="L10" s="12" t="n">
        <v>13</v>
      </c>
      <c r="M10" s="12" t="n">
        <v>3</v>
      </c>
      <c r="N10" s="12" t="n">
        <v>267</v>
      </c>
      <c r="O10" s="12" t="n">
        <v>1</v>
      </c>
      <c r="P10" s="14" t="n">
        <v>0.028</v>
      </c>
      <c r="Q10" s="14" t="n">
        <f aca="false">IF((D10+I10)=0,"",D10/(D10+I10))</f>
        <v>0.925196850393701</v>
      </c>
      <c r="R10" s="14" t="n">
        <f aca="false">IF(D10=0,"",F10/D10)</f>
        <v>0.382978723404255</v>
      </c>
    </row>
    <row r="11" customFormat="false" ht="15" hidden="false" customHeight="true" outlineLevel="0" collapsed="false">
      <c r="A11" s="11" t="s">
        <v>99</v>
      </c>
      <c r="B11" s="12" t="n">
        <v>213</v>
      </c>
      <c r="C11" s="12" t="n">
        <v>4866</v>
      </c>
      <c r="D11" s="12" t="n">
        <v>147</v>
      </c>
      <c r="E11" s="12" t="n">
        <v>3531</v>
      </c>
      <c r="F11" s="12" t="n">
        <v>80</v>
      </c>
      <c r="G11" s="12" t="n">
        <v>2027</v>
      </c>
      <c r="H11" s="12" t="n">
        <v>61</v>
      </c>
      <c r="I11" s="12" t="n">
        <v>29</v>
      </c>
      <c r="J11" s="12" t="n">
        <v>18</v>
      </c>
      <c r="K11" s="12" t="n">
        <v>10</v>
      </c>
      <c r="L11" s="12" t="n">
        <v>13</v>
      </c>
      <c r="M11" s="12" t="n">
        <v>6</v>
      </c>
      <c r="N11" s="12" t="n">
        <v>52</v>
      </c>
      <c r="O11" s="12" t="n">
        <v>1</v>
      </c>
      <c r="P11" s="14" t="n">
        <v>0.07</v>
      </c>
      <c r="Q11" s="14" t="n">
        <f aca="false">IF((D11+I11)=0,"",D11/(D11+I11))</f>
        <v>0.835227272727273</v>
      </c>
      <c r="R11" s="14" t="n">
        <f aca="false">IF(D11=0,"",F11/D11)</f>
        <v>0.54421768707483</v>
      </c>
    </row>
    <row r="12" customFormat="false" ht="15" hidden="false" customHeight="true" outlineLevel="0" collapsed="false">
      <c r="A12" s="11" t="s">
        <v>100</v>
      </c>
      <c r="B12" s="12" t="n">
        <v>154</v>
      </c>
      <c r="C12" s="12" t="n">
        <v>239</v>
      </c>
      <c r="D12" s="12" t="n">
        <v>118</v>
      </c>
      <c r="E12" s="12" t="n">
        <v>191</v>
      </c>
      <c r="F12" s="12" t="n">
        <v>83</v>
      </c>
      <c r="G12" s="12" t="n">
        <v>159</v>
      </c>
      <c r="H12" s="12" t="n">
        <v>72</v>
      </c>
      <c r="I12" s="12" t="n">
        <v>9</v>
      </c>
      <c r="J12" s="12" t="n">
        <v>13</v>
      </c>
      <c r="K12" s="12" t="n">
        <v>8</v>
      </c>
      <c r="L12" s="12" t="n">
        <v>6</v>
      </c>
      <c r="M12" s="12" t="n">
        <v>4</v>
      </c>
      <c r="N12" s="12" t="n">
        <v>1</v>
      </c>
      <c r="O12" s="12" t="n">
        <v>0</v>
      </c>
      <c r="P12" s="14" t="n">
        <v>0.045</v>
      </c>
      <c r="Q12" s="14" t="n">
        <f aca="false">IF((D12+I12)=0,"",D12/(D12+I12))</f>
        <v>0.929133858267717</v>
      </c>
      <c r="R12" s="14" t="n">
        <f aca="false">IF(D12=0,"",F12/D12)</f>
        <v>0.703389830508475</v>
      </c>
    </row>
    <row r="13" customFormat="false" ht="15" hidden="false" customHeight="true" outlineLevel="0" collapsed="false">
      <c r="A13" s="11" t="s">
        <v>101</v>
      </c>
      <c r="B13" s="12" t="n">
        <v>128</v>
      </c>
      <c r="C13" s="12" t="n">
        <v>1855</v>
      </c>
      <c r="D13" s="12" t="n">
        <v>103</v>
      </c>
      <c r="E13" s="12" t="n">
        <v>1348</v>
      </c>
      <c r="F13" s="12" t="n">
        <v>32</v>
      </c>
      <c r="G13" s="12" t="n">
        <v>368</v>
      </c>
      <c r="H13" s="12" t="n">
        <v>23</v>
      </c>
      <c r="I13" s="12" t="n">
        <v>9</v>
      </c>
      <c r="J13" s="12" t="n">
        <v>11</v>
      </c>
      <c r="K13" s="12" t="n">
        <v>30</v>
      </c>
      <c r="L13" s="12" t="n">
        <v>23</v>
      </c>
      <c r="M13" s="12" t="n">
        <v>0</v>
      </c>
      <c r="N13" s="12" t="n">
        <v>0</v>
      </c>
      <c r="O13" s="12" t="n">
        <v>3</v>
      </c>
      <c r="P13" s="14" t="n">
        <v>0.016</v>
      </c>
      <c r="Q13" s="14" t="n">
        <f aca="false">IF((D13+I13)=0,"",D13/(D13+I13))</f>
        <v>0.919642857142857</v>
      </c>
      <c r="R13" s="14" t="n">
        <f aca="false">IF(D13=0,"",F13/D13)</f>
        <v>0.310679611650485</v>
      </c>
    </row>
    <row r="14" customFormat="false" ht="15" hidden="false" customHeight="true" outlineLevel="0" collapsed="false">
      <c r="A14" s="24" t="s">
        <v>102</v>
      </c>
      <c r="B14" s="25" t="n">
        <v>101</v>
      </c>
      <c r="C14" s="25" t="n">
        <v>66347</v>
      </c>
      <c r="D14" s="25" t="n">
        <v>84</v>
      </c>
      <c r="E14" s="25" t="n">
        <v>53807</v>
      </c>
      <c r="F14" s="25" t="n">
        <v>56</v>
      </c>
      <c r="G14" s="25" t="n">
        <v>23825</v>
      </c>
      <c r="H14" s="25" t="n">
        <v>49</v>
      </c>
      <c r="I14" s="25" t="n">
        <v>3</v>
      </c>
      <c r="J14" s="25" t="n">
        <v>3</v>
      </c>
      <c r="K14" s="25" t="n">
        <v>2</v>
      </c>
      <c r="L14" s="25" t="n">
        <v>0</v>
      </c>
      <c r="M14" s="25" t="n">
        <v>9</v>
      </c>
      <c r="N14" s="25" t="n">
        <v>8750</v>
      </c>
      <c r="O14" s="25" t="n">
        <v>1</v>
      </c>
      <c r="P14" s="26" t="n">
        <v>1</v>
      </c>
      <c r="Q14" s="26" t="n">
        <f aca="false">IF((D14+I14)=0,"",D14/(D14+I14))</f>
        <v>0.96551724137931</v>
      </c>
      <c r="R14" s="26" t="n">
        <f aca="false">IF(D14=0,"",F14/D14)</f>
        <v>0.666666666666667</v>
      </c>
    </row>
    <row r="15" customFormat="false" ht="15" hidden="false" customHeight="true" outlineLevel="0" collapsed="false">
      <c r="A15" s="11" t="s">
        <v>103</v>
      </c>
      <c r="B15" s="12" t="n">
        <v>66</v>
      </c>
      <c r="C15" s="12" t="n">
        <v>4373</v>
      </c>
      <c r="D15" s="12" t="n">
        <v>47</v>
      </c>
      <c r="E15" s="12" t="n">
        <v>3483</v>
      </c>
      <c r="F15" s="12" t="n">
        <v>4</v>
      </c>
      <c r="G15" s="12" t="n">
        <v>4</v>
      </c>
      <c r="H15" s="12" t="n">
        <v>1</v>
      </c>
      <c r="I15" s="12" t="n">
        <v>0</v>
      </c>
      <c r="J15" s="12" t="n">
        <v>2</v>
      </c>
      <c r="K15" s="12" t="n">
        <v>1</v>
      </c>
      <c r="L15" s="12" t="n">
        <v>1</v>
      </c>
      <c r="M15" s="12" t="n">
        <v>16</v>
      </c>
      <c r="N15" s="12" t="n">
        <v>779</v>
      </c>
      <c r="O15" s="12" t="n">
        <v>0</v>
      </c>
      <c r="P15" s="14" t="n">
        <v>0.03</v>
      </c>
      <c r="Q15" s="14" t="n">
        <f aca="false">IF((D15+I15)=0,"",D15/(D15+I15))</f>
        <v>1</v>
      </c>
      <c r="R15" s="14" t="n">
        <f aca="false">IF(D15=0,"",F15/D15)</f>
        <v>0.0851063829787234</v>
      </c>
    </row>
    <row r="16" customFormat="false" ht="15" hidden="false" customHeight="true" outlineLevel="0" collapsed="false">
      <c r="A16" s="11" t="s">
        <v>104</v>
      </c>
      <c r="B16" s="12" t="n">
        <v>33</v>
      </c>
      <c r="C16" s="12" t="n">
        <v>558</v>
      </c>
      <c r="D16" s="12" t="n">
        <v>29</v>
      </c>
      <c r="E16" s="12" t="n">
        <v>537</v>
      </c>
      <c r="F16" s="12" t="n">
        <v>26</v>
      </c>
      <c r="G16" s="12" t="n">
        <v>521</v>
      </c>
      <c r="H16" s="12" t="n">
        <v>25</v>
      </c>
      <c r="I16" s="12" t="n">
        <v>1</v>
      </c>
      <c r="J16" s="12" t="n">
        <v>2</v>
      </c>
      <c r="K16" s="12" t="n">
        <v>1</v>
      </c>
      <c r="L16" s="12" t="n">
        <v>0</v>
      </c>
      <c r="M16" s="12" t="n">
        <v>1</v>
      </c>
      <c r="N16" s="12" t="n">
        <v>1</v>
      </c>
      <c r="O16" s="12" t="n">
        <v>0</v>
      </c>
      <c r="P16" s="14" t="n">
        <v>0.091</v>
      </c>
      <c r="Q16" s="14" t="n">
        <f aca="false">IF((D16+I16)=0,"",D16/(D16+I16))</f>
        <v>0.966666666666667</v>
      </c>
      <c r="R16" s="14" t="n">
        <f aca="false">IF(D16=0,"",F16/D16)</f>
        <v>0.896551724137931</v>
      </c>
    </row>
    <row r="17" customFormat="false" ht="15" hidden="false" customHeight="true" outlineLevel="0" collapsed="false">
      <c r="A17" s="11" t="s">
        <v>105</v>
      </c>
      <c r="B17" s="12" t="n">
        <v>31</v>
      </c>
      <c r="C17" s="12" t="n">
        <v>768</v>
      </c>
      <c r="D17" s="12" t="n">
        <v>24</v>
      </c>
      <c r="E17" s="12" t="n">
        <v>449</v>
      </c>
      <c r="F17" s="12" t="n">
        <v>12</v>
      </c>
      <c r="G17" s="12" t="n">
        <v>258</v>
      </c>
      <c r="H17" s="12" t="n">
        <v>11</v>
      </c>
      <c r="I17" s="12" t="n">
        <v>0</v>
      </c>
      <c r="J17" s="12" t="n">
        <v>2</v>
      </c>
      <c r="K17" s="12" t="n">
        <v>3</v>
      </c>
      <c r="L17" s="12" t="n">
        <v>3</v>
      </c>
      <c r="M17" s="12" t="n">
        <v>4</v>
      </c>
      <c r="N17" s="12" t="n">
        <v>307</v>
      </c>
      <c r="O17" s="12" t="n">
        <v>6</v>
      </c>
      <c r="P17" s="14" t="n">
        <v>0.903</v>
      </c>
      <c r="Q17" s="14" t="n">
        <f aca="false">IF((D17+I17)=0,"",D17/(D17+I17))</f>
        <v>1</v>
      </c>
      <c r="R17" s="14" t="n">
        <f aca="false">IF(D17=0,"",F17/D17)</f>
        <v>0.5</v>
      </c>
    </row>
    <row r="18" customFormat="false" ht="15" hidden="false" customHeight="true" outlineLevel="0" collapsed="false">
      <c r="A18" s="11" t="s">
        <v>106</v>
      </c>
      <c r="B18" s="12" t="n">
        <v>18</v>
      </c>
      <c r="C18" s="12" t="n">
        <v>12568</v>
      </c>
      <c r="D18" s="12" t="n">
        <v>11</v>
      </c>
      <c r="E18" s="12" t="n">
        <v>7718</v>
      </c>
      <c r="F18" s="12" t="n">
        <v>4</v>
      </c>
      <c r="G18" s="12" t="n">
        <v>2828</v>
      </c>
      <c r="H18" s="12" t="n">
        <v>4</v>
      </c>
      <c r="I18" s="12" t="n">
        <v>0</v>
      </c>
      <c r="J18" s="12" t="n">
        <v>0</v>
      </c>
      <c r="K18" s="12" t="n">
        <v>0</v>
      </c>
      <c r="L18" s="12" t="n">
        <v>0</v>
      </c>
      <c r="M18" s="12" t="n">
        <v>5</v>
      </c>
      <c r="N18" s="12" t="n">
        <v>4200</v>
      </c>
      <c r="O18" s="12" t="n">
        <v>0</v>
      </c>
      <c r="P18" s="14" t="n">
        <v>0.667</v>
      </c>
      <c r="Q18" s="14" t="n">
        <f aca="false">IF((D18+I18)=0,"",D18/(D18+I18))</f>
        <v>1</v>
      </c>
      <c r="R18" s="14" t="n">
        <f aca="false">IF(D18=0,"",F18/D18)</f>
        <v>0.363636363636364</v>
      </c>
    </row>
    <row r="19" customFormat="false" ht="15" hidden="false" customHeight="true" outlineLevel="0" collapsed="false">
      <c r="A19" s="11" t="s">
        <v>107</v>
      </c>
      <c r="B19" s="12" t="n">
        <v>12</v>
      </c>
      <c r="C19" s="12" t="n">
        <v>50</v>
      </c>
      <c r="D19" s="12" t="n">
        <v>12</v>
      </c>
      <c r="E19" s="12" t="n">
        <v>50</v>
      </c>
      <c r="F19" s="12" t="n">
        <v>12</v>
      </c>
      <c r="G19" s="12" t="n">
        <v>50</v>
      </c>
      <c r="H19" s="12" t="n">
        <v>12</v>
      </c>
      <c r="I19" s="12" t="n">
        <v>0</v>
      </c>
      <c r="J19" s="12" t="n">
        <v>0</v>
      </c>
      <c r="K19" s="12" t="n">
        <v>0</v>
      </c>
      <c r="L19" s="12" t="n">
        <v>0</v>
      </c>
      <c r="M19" s="12" t="n">
        <v>0</v>
      </c>
      <c r="N19" s="12" t="n">
        <v>0</v>
      </c>
      <c r="O19" s="12" t="n">
        <v>0</v>
      </c>
      <c r="P19" s="14" t="n">
        <v>0</v>
      </c>
      <c r="Q19" s="14" t="n">
        <f aca="false">IF((D19+I19)=0,"",D19/(D19+I19))</f>
        <v>1</v>
      </c>
      <c r="R19" s="14" t="n">
        <f aca="false">IF(D19=0,"",F19/D19)</f>
        <v>1</v>
      </c>
    </row>
    <row r="20" customFormat="false" ht="15" hidden="false" customHeight="true" outlineLevel="0" collapsed="false">
      <c r="A20" s="11" t="s">
        <v>108</v>
      </c>
      <c r="B20" s="12" t="n">
        <v>8</v>
      </c>
      <c r="C20" s="12" t="n">
        <v>109</v>
      </c>
      <c r="D20" s="12" t="n">
        <v>5</v>
      </c>
      <c r="E20" s="12" t="n">
        <v>79</v>
      </c>
      <c r="F20" s="12" t="n">
        <v>3</v>
      </c>
      <c r="G20" s="12" t="n">
        <v>25</v>
      </c>
      <c r="H20" s="12" t="n">
        <v>3</v>
      </c>
      <c r="I20" s="12" t="n">
        <v>0</v>
      </c>
      <c r="J20" s="12" t="n">
        <v>1</v>
      </c>
      <c r="K20" s="12" t="n">
        <v>1</v>
      </c>
      <c r="L20" s="12" t="n">
        <v>1</v>
      </c>
      <c r="M20" s="12" t="n">
        <v>2</v>
      </c>
      <c r="N20" s="12" t="n">
        <v>27</v>
      </c>
      <c r="O20" s="12" t="n">
        <v>1</v>
      </c>
      <c r="P20" s="14" t="n">
        <v>1</v>
      </c>
      <c r="Q20" s="14" t="n">
        <f aca="false">IF((D20+I20)=0,"",D20/(D20+I20))</f>
        <v>1</v>
      </c>
      <c r="R20" s="14" t="n">
        <f aca="false">IF(D20=0,"",F20/D20)</f>
        <v>0.6</v>
      </c>
    </row>
    <row r="21" customFormat="false" ht="15" hidden="false" customHeight="true" outlineLevel="0" collapsed="false">
      <c r="A21" s="11" t="s">
        <v>109</v>
      </c>
      <c r="B21" s="12" t="n">
        <v>6</v>
      </c>
      <c r="C21" s="12" t="n">
        <v>49</v>
      </c>
      <c r="D21" s="12" t="n">
        <v>3</v>
      </c>
      <c r="E21" s="12" t="n">
        <v>0</v>
      </c>
      <c r="F21" s="12" t="n">
        <v>1</v>
      </c>
      <c r="G21" s="12" t="n">
        <v>0</v>
      </c>
      <c r="H21" s="12" t="n">
        <v>1</v>
      </c>
      <c r="I21" s="12" t="n">
        <v>1</v>
      </c>
      <c r="J21" s="12" t="n">
        <v>0</v>
      </c>
      <c r="K21" s="12" t="n">
        <v>0</v>
      </c>
      <c r="L21" s="12" t="n">
        <v>0</v>
      </c>
      <c r="M21" s="12" t="n">
        <v>2</v>
      </c>
      <c r="N21" s="12" t="n">
        <v>0</v>
      </c>
      <c r="O21" s="12" t="n">
        <v>0</v>
      </c>
      <c r="P21" s="14" t="n">
        <v>0</v>
      </c>
      <c r="Q21" s="14" t="n">
        <f aca="false">IF((D21+I21)=0,"",D21/(D21+I21))</f>
        <v>0.75</v>
      </c>
      <c r="R21" s="14" t="n">
        <f aca="false">IF(D21=0,"",F21/D21)</f>
        <v>0.333333333333333</v>
      </c>
    </row>
    <row r="22" customFormat="false" ht="15" hidden="false" customHeight="true" outlineLevel="0" collapsed="false">
      <c r="A22" s="11" t="s">
        <v>110</v>
      </c>
      <c r="B22" s="12" t="n">
        <v>4</v>
      </c>
      <c r="C22" s="12" t="n">
        <v>868</v>
      </c>
      <c r="D22" s="12" t="n">
        <v>3</v>
      </c>
      <c r="E22" s="12" t="n">
        <v>698</v>
      </c>
      <c r="F22" s="12" t="n">
        <v>3</v>
      </c>
      <c r="G22" s="12" t="n">
        <v>698</v>
      </c>
      <c r="H22" s="12" t="n">
        <v>3</v>
      </c>
      <c r="I22" s="12" t="n">
        <v>0</v>
      </c>
      <c r="J22" s="12" t="n">
        <v>1</v>
      </c>
      <c r="K22" s="12" t="n">
        <v>0</v>
      </c>
      <c r="L22" s="12" t="n">
        <v>0</v>
      </c>
      <c r="M22" s="12" t="n">
        <v>0</v>
      </c>
      <c r="N22" s="12" t="n">
        <v>0</v>
      </c>
      <c r="O22" s="12" t="n">
        <v>1</v>
      </c>
      <c r="P22" s="14" t="n">
        <v>0.25</v>
      </c>
      <c r="Q22" s="14" t="n">
        <f aca="false">IF((D22+I22)=0,"",D22/(D22+I22))</f>
        <v>1</v>
      </c>
      <c r="R22" s="14" t="n">
        <f aca="false">IF(D22=0,"",F22/D22)</f>
        <v>1</v>
      </c>
    </row>
    <row r="23" customFormat="false" ht="15" hidden="false" customHeight="true" outlineLevel="0" collapsed="false">
      <c r="A23" s="11" t="s">
        <v>111</v>
      </c>
      <c r="B23" s="12" t="n">
        <v>4</v>
      </c>
      <c r="C23" s="12" t="n">
        <v>105</v>
      </c>
      <c r="D23" s="12" t="n">
        <v>4</v>
      </c>
      <c r="E23" s="12" t="n">
        <v>105</v>
      </c>
      <c r="F23" s="12" t="n">
        <v>2</v>
      </c>
      <c r="G23" s="12" t="n">
        <v>5</v>
      </c>
      <c r="H23" s="12" t="n">
        <v>2</v>
      </c>
      <c r="I23" s="12" t="n">
        <v>0</v>
      </c>
      <c r="J23" s="12" t="n">
        <v>0</v>
      </c>
      <c r="K23" s="12" t="n">
        <v>0</v>
      </c>
      <c r="L23" s="12" t="n">
        <v>0</v>
      </c>
      <c r="M23" s="12" t="n">
        <v>0</v>
      </c>
      <c r="N23" s="12" t="n">
        <v>0</v>
      </c>
      <c r="O23" s="12" t="n">
        <v>1</v>
      </c>
      <c r="P23" s="14" t="n">
        <v>0</v>
      </c>
      <c r="Q23" s="14" t="n">
        <f aca="false">IF((D23+I23)=0,"",D23/(D23+I23))</f>
        <v>1</v>
      </c>
      <c r="R23" s="14" t="n">
        <f aca="false">IF(D23=0,"",F23/D23)</f>
        <v>0.5</v>
      </c>
    </row>
    <row r="24" customFormat="false" ht="15" hidden="false" customHeight="true" outlineLevel="0" collapsed="false">
      <c r="A24" s="11" t="s">
        <v>112</v>
      </c>
      <c r="B24" s="12" t="n">
        <v>3</v>
      </c>
      <c r="C24" s="12" t="n">
        <v>2</v>
      </c>
      <c r="D24" s="12" t="n">
        <v>2</v>
      </c>
      <c r="E24" s="12" t="n">
        <v>0</v>
      </c>
      <c r="F24" s="12" t="n">
        <v>1</v>
      </c>
      <c r="G24" s="12" t="n">
        <v>0</v>
      </c>
      <c r="H24" s="12" t="n">
        <v>0</v>
      </c>
      <c r="I24" s="12" t="n">
        <v>1</v>
      </c>
      <c r="J24" s="12" t="n">
        <v>0</v>
      </c>
      <c r="K24" s="12" t="n">
        <v>0</v>
      </c>
      <c r="L24" s="12" t="n">
        <v>0</v>
      </c>
      <c r="M24" s="12" t="n">
        <v>0</v>
      </c>
      <c r="N24" s="12" t="n">
        <v>0</v>
      </c>
      <c r="O24" s="12" t="n">
        <v>0</v>
      </c>
      <c r="P24" s="14" t="n">
        <v>0</v>
      </c>
      <c r="Q24" s="14" t="n">
        <f aca="false">IF((D24+I24)=0,"",D24/(D24+I24))</f>
        <v>0.666666666666667</v>
      </c>
      <c r="R24" s="14" t="n">
        <f aca="false">IF(D24=0,"",F24/D24)</f>
        <v>0.5</v>
      </c>
    </row>
    <row r="25" customFormat="false" ht="15" hidden="false" customHeight="true" outlineLevel="0" collapsed="false">
      <c r="A25" s="11" t="s">
        <v>113</v>
      </c>
      <c r="B25" s="12" t="n">
        <v>2</v>
      </c>
      <c r="C25" s="12" t="n">
        <v>10</v>
      </c>
      <c r="D25" s="12" t="n">
        <v>2</v>
      </c>
      <c r="E25" s="12" t="n">
        <v>10</v>
      </c>
      <c r="F25" s="12" t="n">
        <v>2</v>
      </c>
      <c r="G25" s="12" t="n">
        <v>10</v>
      </c>
      <c r="H25" s="12" t="n">
        <v>1</v>
      </c>
      <c r="I25" s="12" t="n">
        <v>0</v>
      </c>
      <c r="J25" s="12" t="n">
        <v>0</v>
      </c>
      <c r="K25" s="12" t="n">
        <v>0</v>
      </c>
      <c r="L25" s="12" t="n">
        <v>0</v>
      </c>
      <c r="M25" s="12" t="n">
        <v>0</v>
      </c>
      <c r="N25" s="12" t="n">
        <v>0</v>
      </c>
      <c r="O25" s="12" t="n">
        <v>0</v>
      </c>
      <c r="P25" s="14" t="n">
        <v>0</v>
      </c>
      <c r="Q25" s="14" t="n">
        <f aca="false">IF((D25+I25)=0,"",D25/(D25+I25))</f>
        <v>1</v>
      </c>
      <c r="R25" s="14" t="n">
        <f aca="false">IF(D25=0,"",F25/D25)</f>
        <v>1</v>
      </c>
    </row>
    <row r="26" customFormat="false" ht="15" hidden="false" customHeight="true" outlineLevel="0" collapsed="false">
      <c r="A26" s="11" t="s">
        <v>114</v>
      </c>
      <c r="B26" s="12" t="n">
        <v>2</v>
      </c>
      <c r="C26" s="12" t="n">
        <v>5</v>
      </c>
      <c r="D26" s="12" t="n">
        <v>2</v>
      </c>
      <c r="E26" s="12" t="n">
        <v>5</v>
      </c>
      <c r="F26" s="12" t="n">
        <v>1</v>
      </c>
      <c r="G26" s="12" t="n">
        <v>0</v>
      </c>
      <c r="H26" s="12" t="n">
        <v>1</v>
      </c>
      <c r="I26" s="12" t="n">
        <v>0</v>
      </c>
      <c r="J26" s="12" t="n">
        <v>0</v>
      </c>
      <c r="K26" s="12" t="n">
        <v>0</v>
      </c>
      <c r="L26" s="12" t="n">
        <v>0</v>
      </c>
      <c r="M26" s="12" t="n">
        <v>0</v>
      </c>
      <c r="N26" s="12" t="n">
        <v>0</v>
      </c>
      <c r="O26" s="12" t="n">
        <v>0</v>
      </c>
      <c r="P26" s="14" t="n">
        <v>0</v>
      </c>
      <c r="Q26" s="14" t="n">
        <f aca="false">IF((D26+I26)=0,"",D26/(D26+I26))</f>
        <v>1</v>
      </c>
      <c r="R26" s="14" t="n">
        <f aca="false">IF(D26=0,"",F26/D26)</f>
        <v>0.5</v>
      </c>
    </row>
    <row r="27" customFormat="false" ht="15" hidden="false" customHeight="true" outlineLevel="0" collapsed="false">
      <c r="A27" s="11" t="s">
        <v>115</v>
      </c>
      <c r="B27" s="12" t="n">
        <v>2</v>
      </c>
      <c r="C27" s="12" t="n">
        <v>4</v>
      </c>
      <c r="D27" s="12" t="n">
        <v>1</v>
      </c>
      <c r="E27" s="12" t="n">
        <v>0</v>
      </c>
      <c r="F27" s="12" t="n">
        <v>0</v>
      </c>
      <c r="G27" s="12" t="n">
        <v>0</v>
      </c>
      <c r="H27" s="12" t="n">
        <v>0</v>
      </c>
      <c r="I27" s="12" t="n">
        <v>0</v>
      </c>
      <c r="J27" s="12" t="n">
        <v>1</v>
      </c>
      <c r="K27" s="12" t="n">
        <v>0</v>
      </c>
      <c r="L27" s="12" t="n">
        <v>0</v>
      </c>
      <c r="M27" s="12" t="n">
        <v>0</v>
      </c>
      <c r="N27" s="12" t="n">
        <v>0</v>
      </c>
      <c r="O27" s="12" t="n">
        <v>0</v>
      </c>
      <c r="P27" s="14" t="n">
        <v>0</v>
      </c>
      <c r="Q27" s="14" t="n">
        <f aca="false">IF((D27+I27)=0,"",D27/(D27+I27))</f>
        <v>1</v>
      </c>
      <c r="R27" s="14" t="n">
        <f aca="false">IF(D27=0,"",F27/D27)</f>
        <v>0</v>
      </c>
    </row>
    <row r="28" customFormat="false" ht="15" hidden="false" customHeight="true" outlineLevel="0" collapsed="false">
      <c r="A28" s="11" t="s">
        <v>116</v>
      </c>
      <c r="B28" s="12" t="n">
        <v>1</v>
      </c>
      <c r="C28" s="12" t="n">
        <v>320</v>
      </c>
      <c r="D28" s="12" t="n">
        <v>1</v>
      </c>
      <c r="E28" s="12" t="n">
        <v>320</v>
      </c>
      <c r="F28" s="12" t="n">
        <v>0</v>
      </c>
      <c r="G28" s="12" t="n">
        <v>0</v>
      </c>
      <c r="H28" s="12" t="n">
        <v>0</v>
      </c>
      <c r="I28" s="12" t="n">
        <v>0</v>
      </c>
      <c r="J28" s="12" t="n">
        <v>0</v>
      </c>
      <c r="K28" s="12" t="n">
        <v>0</v>
      </c>
      <c r="L28" s="12" t="n">
        <v>1</v>
      </c>
      <c r="M28" s="12" t="n">
        <v>0</v>
      </c>
      <c r="N28" s="12" t="n">
        <v>0</v>
      </c>
      <c r="O28" s="12" t="n">
        <v>0</v>
      </c>
      <c r="P28" s="14" t="n">
        <v>1</v>
      </c>
      <c r="Q28" s="14" t="n">
        <f aca="false">IF((D28+I28)=0,"",D28/(D28+I28))</f>
        <v>1</v>
      </c>
      <c r="R28" s="14" t="n">
        <f aca="false">IF(D28=0,"",F28/D28)</f>
        <v>0</v>
      </c>
    </row>
    <row r="29" customFormat="false" ht="15" hidden="false" customHeight="true" outlineLevel="0" collapsed="false">
      <c r="A29" s="11" t="s">
        <v>117</v>
      </c>
      <c r="B29" s="12" t="n">
        <v>1</v>
      </c>
      <c r="C29" s="12" t="n">
        <v>400</v>
      </c>
      <c r="D29" s="12" t="n">
        <v>1</v>
      </c>
      <c r="E29" s="12" t="n">
        <v>400</v>
      </c>
      <c r="F29" s="12" t="n">
        <v>1</v>
      </c>
      <c r="G29" s="12" t="n">
        <v>400</v>
      </c>
      <c r="H29" s="12" t="n">
        <v>1</v>
      </c>
      <c r="I29" s="12" t="n">
        <v>0</v>
      </c>
      <c r="J29" s="12" t="n">
        <v>0</v>
      </c>
      <c r="K29" s="12" t="n">
        <v>0</v>
      </c>
      <c r="L29" s="12" t="n">
        <v>0</v>
      </c>
      <c r="M29" s="12" t="n">
        <v>0</v>
      </c>
      <c r="N29" s="12" t="n">
        <v>0</v>
      </c>
      <c r="O29" s="12" t="n">
        <v>0</v>
      </c>
      <c r="P29" s="14" t="n">
        <v>0</v>
      </c>
      <c r="Q29" s="14" t="n">
        <f aca="false">IF((D29+I29)=0,"",D29/(D29+I29))</f>
        <v>1</v>
      </c>
      <c r="R29" s="14" t="n">
        <f aca="false">IF(D29=0,"",F29/D29)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17" min="2" style="1" width="12"/>
    <col collapsed="false" customWidth="true" hidden="false" outlineLevel="0" max="18" min="18" style="1" width="14"/>
  </cols>
  <sheetData>
    <row r="1" customFormat="false" ht="17.25" hidden="false" customHeight="true" outlineLevel="0" collapsed="false">
      <c r="A1" s="2" t="s">
        <v>118</v>
      </c>
    </row>
    <row r="2" customFormat="false" ht="15" hidden="false" customHeight="true" outlineLevel="0" collapsed="false">
      <c r="A2" s="3" t="s">
        <v>84</v>
      </c>
    </row>
    <row r="4" customFormat="false" ht="23.25" hidden="false" customHeight="true" outlineLevel="0" collapsed="false">
      <c r="A4" s="6" t="s">
        <v>119</v>
      </c>
      <c r="B4" s="6" t="s">
        <v>52</v>
      </c>
      <c r="C4" s="6" t="s">
        <v>53</v>
      </c>
      <c r="D4" s="6" t="s">
        <v>11</v>
      </c>
      <c r="E4" s="6" t="s">
        <v>86</v>
      </c>
      <c r="F4" s="6" t="s">
        <v>13</v>
      </c>
      <c r="G4" s="6" t="s">
        <v>87</v>
      </c>
      <c r="H4" s="6" t="s">
        <v>15</v>
      </c>
      <c r="I4" s="6" t="s">
        <v>17</v>
      </c>
      <c r="J4" s="6" t="s">
        <v>19</v>
      </c>
      <c r="K4" s="6" t="s">
        <v>21</v>
      </c>
      <c r="L4" s="6" t="s">
        <v>88</v>
      </c>
      <c r="M4" s="6" t="s">
        <v>23</v>
      </c>
      <c r="N4" s="6" t="s">
        <v>89</v>
      </c>
      <c r="O4" s="6" t="s">
        <v>90</v>
      </c>
      <c r="P4" s="6" t="s">
        <v>91</v>
      </c>
      <c r="Q4" s="6" t="s">
        <v>25</v>
      </c>
      <c r="R4" s="6" t="s">
        <v>92</v>
      </c>
    </row>
    <row r="5" customFormat="false" ht="15" hidden="false" customHeight="true" outlineLevel="0" collapsed="false">
      <c r="A5" s="11" t="s">
        <v>120</v>
      </c>
      <c r="B5" s="12" t="n">
        <v>10297</v>
      </c>
      <c r="C5" s="12" t="n">
        <v>225439</v>
      </c>
      <c r="D5" s="12" t="n">
        <v>7494</v>
      </c>
      <c r="E5" s="12" t="n">
        <v>144428</v>
      </c>
      <c r="F5" s="12" t="n">
        <v>2470</v>
      </c>
      <c r="G5" s="12" t="n">
        <v>49774</v>
      </c>
      <c r="H5" s="12" t="n">
        <v>2170</v>
      </c>
      <c r="I5" s="12" t="n">
        <v>763</v>
      </c>
      <c r="J5" s="12" t="n">
        <v>430</v>
      </c>
      <c r="K5" s="12" t="n">
        <v>266</v>
      </c>
      <c r="L5" s="12" t="n">
        <v>217</v>
      </c>
      <c r="M5" s="12" t="n">
        <v>1094</v>
      </c>
      <c r="N5" s="12" t="n">
        <v>50518</v>
      </c>
      <c r="O5" s="12" t="n">
        <v>17</v>
      </c>
      <c r="P5" s="14" t="n">
        <v>0.015</v>
      </c>
      <c r="Q5" s="14" t="n">
        <f aca="false">IF((D5+I5)=0,"",D5/(D5+I5))</f>
        <v>0.907593556981955</v>
      </c>
      <c r="R5" s="14" t="n">
        <f aca="false">IF(D5=0,"",F5/D5)</f>
        <v>0.329597010942087</v>
      </c>
    </row>
    <row r="6" customFormat="false" ht="15" hidden="false" customHeight="true" outlineLevel="0" collapsed="false">
      <c r="A6" s="11" t="s">
        <v>121</v>
      </c>
      <c r="B6" s="12" t="n">
        <v>2668</v>
      </c>
      <c r="C6" s="12" t="n">
        <v>122722</v>
      </c>
      <c r="D6" s="12" t="n">
        <v>1629</v>
      </c>
      <c r="E6" s="12" t="n">
        <v>72774</v>
      </c>
      <c r="F6" s="12" t="n">
        <v>709</v>
      </c>
      <c r="G6" s="12" t="n">
        <v>22625</v>
      </c>
      <c r="H6" s="12" t="n">
        <v>594</v>
      </c>
      <c r="I6" s="12" t="n">
        <v>322</v>
      </c>
      <c r="J6" s="12" t="n">
        <v>174</v>
      </c>
      <c r="K6" s="12" t="n">
        <v>71</v>
      </c>
      <c r="L6" s="12" t="n">
        <v>75</v>
      </c>
      <c r="M6" s="12" t="n">
        <v>389</v>
      </c>
      <c r="N6" s="12" t="n">
        <v>32275</v>
      </c>
      <c r="O6" s="12" t="n">
        <v>11</v>
      </c>
      <c r="P6" s="14" t="n">
        <v>0.251</v>
      </c>
      <c r="Q6" s="14" t="n">
        <f aca="false">IF((D6+I6)=0,"",D6/(D6+I6))</f>
        <v>0.834956432598667</v>
      </c>
      <c r="R6" s="14" t="n">
        <f aca="false">IF(D6=0,"",F6/D6)</f>
        <v>0.435236341313689</v>
      </c>
    </row>
    <row r="7" customFormat="false" ht="15" hidden="false" customHeight="true" outlineLevel="0" collapsed="false">
      <c r="A7" s="11" t="s">
        <v>122</v>
      </c>
      <c r="B7" s="12" t="n">
        <v>821</v>
      </c>
      <c r="C7" s="12" t="n">
        <v>20743</v>
      </c>
      <c r="D7" s="12" t="n">
        <v>558</v>
      </c>
      <c r="E7" s="12" t="n">
        <v>13542</v>
      </c>
      <c r="F7" s="12" t="n">
        <v>273</v>
      </c>
      <c r="G7" s="12" t="n">
        <v>6180</v>
      </c>
      <c r="H7" s="12" t="n">
        <v>250</v>
      </c>
      <c r="I7" s="12" t="n">
        <v>91</v>
      </c>
      <c r="J7" s="12" t="n">
        <v>44</v>
      </c>
      <c r="K7" s="12" t="n">
        <v>38</v>
      </c>
      <c r="L7" s="12" t="n">
        <v>27</v>
      </c>
      <c r="M7" s="12" t="n">
        <v>89</v>
      </c>
      <c r="N7" s="12" t="n">
        <v>4159</v>
      </c>
      <c r="O7" s="12" t="n">
        <v>3</v>
      </c>
      <c r="P7" s="14" t="n">
        <v>0.119</v>
      </c>
      <c r="Q7" s="14" t="n">
        <f aca="false">IF((D7+I7)=0,"",D7/(D7+I7))</f>
        <v>0.859784283513097</v>
      </c>
      <c r="R7" s="14" t="n">
        <f aca="false">IF(D7=0,"",F7/D7)</f>
        <v>0.489247311827957</v>
      </c>
    </row>
    <row r="8" customFormat="false" ht="15" hidden="false" customHeight="true" outlineLevel="0" collapsed="false">
      <c r="A8" s="11" t="s">
        <v>123</v>
      </c>
      <c r="B8" s="12" t="n">
        <v>529</v>
      </c>
      <c r="C8" s="12" t="n">
        <v>6105</v>
      </c>
      <c r="D8" s="12" t="n">
        <v>318</v>
      </c>
      <c r="E8" s="12" t="n">
        <v>3292</v>
      </c>
      <c r="F8" s="12" t="n">
        <v>123</v>
      </c>
      <c r="G8" s="12" t="n">
        <v>1597</v>
      </c>
      <c r="H8" s="12" t="n">
        <v>119</v>
      </c>
      <c r="I8" s="12" t="n">
        <v>38</v>
      </c>
      <c r="J8" s="12" t="n">
        <v>48</v>
      </c>
      <c r="K8" s="12" t="n">
        <v>12</v>
      </c>
      <c r="L8" s="12" t="n">
        <v>17</v>
      </c>
      <c r="M8" s="12" t="n">
        <v>117</v>
      </c>
      <c r="N8" s="12" t="n">
        <v>1583</v>
      </c>
      <c r="O8" s="12" t="n">
        <v>1</v>
      </c>
      <c r="P8" s="14" t="n">
        <v>0</v>
      </c>
      <c r="Q8" s="14" t="n">
        <f aca="false">IF((D8+I8)=0,"",D8/(D8+I8))</f>
        <v>0.893258426966292</v>
      </c>
      <c r="R8" s="14" t="n">
        <f aca="false">IF(D8=0,"",F8/D8)</f>
        <v>0.386792452830189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16"/>
    <col collapsed="false" customWidth="true" hidden="false" outlineLevel="0" max="4" min="4" style="1" width="22"/>
    <col collapsed="false" customWidth="true" hidden="false" outlineLevel="0" max="6" min="5" style="1" width="24"/>
    <col collapsed="false" customWidth="true" hidden="false" outlineLevel="0" max="7" min="7" style="1" width="22"/>
  </cols>
  <sheetData>
    <row r="1" customFormat="false" ht="17.25" hidden="false" customHeight="true" outlineLevel="0" collapsed="false">
      <c r="A1" s="2" t="s">
        <v>124</v>
      </c>
    </row>
    <row r="2" customFormat="false" ht="15" hidden="false" customHeight="true" outlineLevel="0" collapsed="false">
      <c r="A2" s="3" t="s">
        <v>125</v>
      </c>
    </row>
    <row r="4" customFormat="false" ht="23.25" hidden="false" customHeight="true" outlineLevel="0" collapsed="false">
      <c r="A4" s="6" t="s">
        <v>85</v>
      </c>
      <c r="B4" s="6" t="s">
        <v>126</v>
      </c>
      <c r="C4" s="6" t="s">
        <v>127</v>
      </c>
      <c r="D4" s="6" t="s">
        <v>128</v>
      </c>
      <c r="E4" s="6" t="s">
        <v>129</v>
      </c>
      <c r="F4" s="6" t="s">
        <v>130</v>
      </c>
      <c r="G4" s="6" t="s">
        <v>131</v>
      </c>
    </row>
    <row r="5" customFormat="false" ht="15" hidden="false" customHeight="true" outlineLevel="0" collapsed="false">
      <c r="A5" s="24" t="s">
        <v>102</v>
      </c>
      <c r="B5" s="25" t="n">
        <v>81</v>
      </c>
      <c r="C5" s="27" t="n">
        <v>18.8</v>
      </c>
      <c r="D5" s="27" t="n">
        <v>35.4</v>
      </c>
      <c r="E5" s="27" t="n">
        <v>17.4</v>
      </c>
      <c r="F5" s="27" t="n">
        <v>77</v>
      </c>
      <c r="G5" s="27" t="n">
        <f aca="false">F5/12</f>
        <v>6.41666666666667</v>
      </c>
    </row>
    <row r="6" customFormat="false" ht="15" hidden="false" customHeight="true" outlineLevel="0" collapsed="false">
      <c r="A6" s="24" t="s">
        <v>94</v>
      </c>
      <c r="B6" s="25" t="n">
        <v>1316</v>
      </c>
      <c r="C6" s="27" t="n">
        <v>16.1</v>
      </c>
      <c r="D6" s="27" t="n">
        <v>26.3</v>
      </c>
      <c r="E6" s="27" t="n">
        <v>11.1</v>
      </c>
      <c r="F6" s="27" t="n">
        <v>53.5</v>
      </c>
      <c r="G6" s="27" t="n">
        <f aca="false">F6/12</f>
        <v>4.45833333333333</v>
      </c>
    </row>
    <row r="7" customFormat="false" ht="15" hidden="false" customHeight="true" outlineLevel="0" collapsed="false">
      <c r="A7" s="11" t="s">
        <v>105</v>
      </c>
      <c r="B7" s="12" t="n">
        <v>16</v>
      </c>
      <c r="C7" s="28" t="n">
        <v>10.8</v>
      </c>
      <c r="D7" s="28" t="n">
        <v>11</v>
      </c>
      <c r="E7" s="28" t="n">
        <v>11.2</v>
      </c>
      <c r="F7" s="28" t="n">
        <v>39.4</v>
      </c>
      <c r="G7" s="28" t="n">
        <f aca="false">F7/12</f>
        <v>3.28333333333333</v>
      </c>
    </row>
    <row r="8" customFormat="false" ht="15" hidden="false" customHeight="true" outlineLevel="0" collapsed="false">
      <c r="A8" s="11" t="s">
        <v>99</v>
      </c>
      <c r="B8" s="12" t="n">
        <v>139</v>
      </c>
      <c r="C8" s="28" t="n">
        <v>9.2</v>
      </c>
      <c r="D8" s="28" t="n">
        <v>27.7</v>
      </c>
      <c r="E8" s="28" t="n">
        <v>34.1</v>
      </c>
      <c r="F8" s="28" t="n">
        <v>69</v>
      </c>
      <c r="G8" s="28" t="n">
        <f aca="false">F8/12</f>
        <v>5.75</v>
      </c>
    </row>
    <row r="9" customFormat="false" ht="15" hidden="false" customHeight="true" outlineLevel="0" collapsed="false">
      <c r="A9" s="11" t="s">
        <v>95</v>
      </c>
      <c r="B9" s="12" t="n">
        <v>1539</v>
      </c>
      <c r="C9" s="28" t="n">
        <v>6.2</v>
      </c>
      <c r="D9" s="28" t="n">
        <v>18.8</v>
      </c>
      <c r="E9" s="28" t="n">
        <v>6</v>
      </c>
      <c r="F9" s="28" t="n">
        <v>36.9</v>
      </c>
      <c r="G9" s="28" t="n">
        <f aca="false">F9/12</f>
        <v>3.075</v>
      </c>
    </row>
    <row r="10" customFormat="false" ht="15" hidden="false" customHeight="true" outlineLevel="0" collapsed="false">
      <c r="A10" s="11" t="s">
        <v>103</v>
      </c>
      <c r="B10" s="12" t="n">
        <v>47</v>
      </c>
      <c r="C10" s="28" t="n">
        <v>6</v>
      </c>
      <c r="D10" s="28" t="n">
        <v>4.3</v>
      </c>
      <c r="E10" s="28"/>
      <c r="F10" s="28" t="n">
        <v>24.8</v>
      </c>
      <c r="G10" s="28" t="n">
        <f aca="false">F10/12</f>
        <v>2.06666666666667</v>
      </c>
    </row>
    <row r="11" customFormat="false" ht="15" hidden="false" customHeight="true" outlineLevel="0" collapsed="false">
      <c r="A11" s="11" t="s">
        <v>100</v>
      </c>
      <c r="B11" s="12" t="n">
        <v>100</v>
      </c>
      <c r="C11" s="28" t="n">
        <v>5.9</v>
      </c>
      <c r="D11" s="28" t="n">
        <v>18.4</v>
      </c>
      <c r="E11" s="28" t="n">
        <v>17.1</v>
      </c>
      <c r="F11" s="28" t="n">
        <v>43</v>
      </c>
      <c r="G11" s="28" t="n">
        <f aca="false">F11/12</f>
        <v>3.58333333333333</v>
      </c>
    </row>
    <row r="12" customFormat="false" ht="15" hidden="false" customHeight="true" outlineLevel="0" collapsed="false">
      <c r="A12" s="11" t="s">
        <v>101</v>
      </c>
      <c r="B12" s="12" t="n">
        <v>100</v>
      </c>
      <c r="C12" s="28" t="n">
        <v>5.7</v>
      </c>
      <c r="D12" s="28" t="n">
        <v>40.1</v>
      </c>
      <c r="E12" s="28" t="n">
        <v>24</v>
      </c>
      <c r="F12" s="28" t="n">
        <v>63.8</v>
      </c>
      <c r="G12" s="28" t="n">
        <f aca="false">F12/12</f>
        <v>5.31666666666667</v>
      </c>
    </row>
    <row r="13" customFormat="false" ht="15" hidden="false" customHeight="true" outlineLevel="0" collapsed="false">
      <c r="A13" s="11" t="s">
        <v>96</v>
      </c>
      <c r="B13" s="12" t="n">
        <v>261</v>
      </c>
      <c r="C13" s="28" t="n">
        <v>5.2</v>
      </c>
      <c r="D13" s="28" t="n">
        <v>11.5</v>
      </c>
      <c r="E13" s="28" t="n">
        <v>12</v>
      </c>
      <c r="F13" s="28" t="n">
        <v>27.4</v>
      </c>
      <c r="G13" s="28" t="n">
        <f aca="false">F13/12</f>
        <v>2.28333333333333</v>
      </c>
    </row>
    <row r="14" customFormat="false" ht="15" hidden="false" customHeight="true" outlineLevel="0" collapsed="false">
      <c r="A14" s="11" t="s">
        <v>98</v>
      </c>
      <c r="B14" s="12" t="n">
        <v>219</v>
      </c>
      <c r="C14" s="28" t="n">
        <v>4.2</v>
      </c>
      <c r="D14" s="28" t="n">
        <v>22.7</v>
      </c>
      <c r="E14" s="28" t="n">
        <v>18.1</v>
      </c>
      <c r="F14" s="28" t="n">
        <v>44.7</v>
      </c>
      <c r="G14" s="28" t="n">
        <f aca="false">F14/12</f>
        <v>3.725</v>
      </c>
    </row>
    <row r="15" customFormat="false" ht="15" hidden="false" customHeight="true" outlineLevel="0" collapsed="false">
      <c r="A15" s="11" t="s">
        <v>97</v>
      </c>
      <c r="B15" s="12" t="n">
        <v>252</v>
      </c>
      <c r="C15" s="28" t="n">
        <v>3.9</v>
      </c>
      <c r="D15" s="28" t="n">
        <v>19.5</v>
      </c>
      <c r="E15" s="28" t="n">
        <v>6.5</v>
      </c>
      <c r="F15" s="28" t="n">
        <v>23.4</v>
      </c>
      <c r="G15" s="28" t="n">
        <f aca="false">F15/12</f>
        <v>1.95</v>
      </c>
    </row>
    <row r="16" customFormat="false" ht="15" hidden="false" customHeight="true" outlineLevel="0" collapsed="false">
      <c r="A16" s="24" t="s">
        <v>93</v>
      </c>
      <c r="B16" s="25" t="n">
        <v>5518</v>
      </c>
      <c r="C16" s="27" t="n">
        <v>2.3</v>
      </c>
      <c r="D16" s="27" t="n">
        <v>7.2</v>
      </c>
      <c r="E16" s="27" t="n">
        <v>2.9</v>
      </c>
      <c r="F16" s="27" t="n">
        <v>14.4</v>
      </c>
      <c r="G16" s="27" t="n">
        <f aca="false">F16/12</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22"/>
    <col collapsed="false" customWidth="true" hidden="false" outlineLevel="0" max="4" min="4" style="1" width="12"/>
    <col collapsed="false" customWidth="true" hidden="false" outlineLevel="0" max="5" min="5" style="1" width="22"/>
  </cols>
  <sheetData>
    <row r="1" customFormat="false" ht="17.25" hidden="false" customHeight="true" outlineLevel="0" collapsed="false">
      <c r="A1" s="2" t="s">
        <v>132</v>
      </c>
    </row>
    <row r="2" customFormat="false" ht="15" hidden="false" customHeight="true" outlineLevel="0" collapsed="false">
      <c r="A2" s="3" t="s">
        <v>133</v>
      </c>
    </row>
    <row r="4" customFormat="false" ht="23.25" hidden="false" customHeight="true" outlineLevel="0" collapsed="false">
      <c r="A4" s="29" t="s">
        <v>85</v>
      </c>
      <c r="B4" s="29" t="s">
        <v>134</v>
      </c>
      <c r="C4" s="29" t="s">
        <v>135</v>
      </c>
      <c r="D4" s="29" t="s">
        <v>136</v>
      </c>
      <c r="E4" s="29" t="s">
        <v>137</v>
      </c>
    </row>
    <row r="5" customFormat="false" ht="15" hidden="false" customHeight="true" outlineLevel="0" collapsed="false">
      <c r="A5" s="24" t="s">
        <v>102</v>
      </c>
      <c r="B5" s="25" t="n">
        <v>78</v>
      </c>
      <c r="C5" s="27" t="n">
        <v>18.7</v>
      </c>
      <c r="D5" s="25" t="n">
        <v>6</v>
      </c>
      <c r="E5" s="27" t="n">
        <v>27.2</v>
      </c>
    </row>
    <row r="6" customFormat="false" ht="15" hidden="false" customHeight="true" outlineLevel="0" collapsed="false">
      <c r="A6" s="24" t="s">
        <v>94</v>
      </c>
      <c r="B6" s="25" t="n">
        <v>1122</v>
      </c>
      <c r="C6" s="27" t="n">
        <v>14.3</v>
      </c>
      <c r="D6" s="25" t="n">
        <v>882</v>
      </c>
      <c r="E6" s="27" t="n">
        <v>12.4</v>
      </c>
    </row>
    <row r="7" customFormat="false" ht="15" hidden="false" customHeight="true" outlineLevel="0" collapsed="false">
      <c r="A7" s="11" t="s">
        <v>99</v>
      </c>
      <c r="B7" s="12" t="n">
        <v>130</v>
      </c>
      <c r="C7" s="28" t="n">
        <v>8</v>
      </c>
      <c r="D7" s="12" t="n">
        <v>44</v>
      </c>
      <c r="E7" s="28" t="n">
        <v>15.5</v>
      </c>
    </row>
    <row r="8" customFormat="false" ht="15" hidden="false" customHeight="true" outlineLevel="0" collapsed="false">
      <c r="A8" s="11" t="s">
        <v>103</v>
      </c>
      <c r="B8" s="12" t="n">
        <v>47</v>
      </c>
      <c r="C8" s="28" t="n">
        <v>6</v>
      </c>
      <c r="D8" s="12" t="n">
        <v>0</v>
      </c>
    </row>
    <row r="9" customFormat="false" ht="15" hidden="false" customHeight="true" outlineLevel="0" collapsed="false">
      <c r="A9" s="11" t="s">
        <v>100</v>
      </c>
      <c r="B9" s="12" t="n">
        <v>100</v>
      </c>
      <c r="C9" s="28" t="n">
        <v>5.9</v>
      </c>
      <c r="D9" s="12" t="n">
        <v>7</v>
      </c>
      <c r="E9" s="28" t="n">
        <v>10.4</v>
      </c>
    </row>
    <row r="10" customFormat="false" ht="15" hidden="false" customHeight="true" outlineLevel="0" collapsed="false">
      <c r="A10" s="11" t="s">
        <v>95</v>
      </c>
      <c r="B10" s="12" t="n">
        <v>1463</v>
      </c>
      <c r="C10" s="28" t="n">
        <v>5.8</v>
      </c>
      <c r="D10" s="12" t="n">
        <v>265</v>
      </c>
      <c r="E10" s="28" t="n">
        <v>7.3</v>
      </c>
    </row>
    <row r="11" customFormat="false" ht="15" hidden="false" customHeight="true" outlineLevel="0" collapsed="false">
      <c r="A11" s="11" t="s">
        <v>101</v>
      </c>
      <c r="B11" s="12" t="n">
        <v>96</v>
      </c>
      <c r="C11" s="28" t="n">
        <v>5.4</v>
      </c>
      <c r="D11" s="12" t="n">
        <v>16</v>
      </c>
      <c r="E11" s="28" t="n">
        <v>10.6</v>
      </c>
    </row>
    <row r="12" customFormat="false" ht="15" hidden="false" customHeight="true" outlineLevel="0" collapsed="false">
      <c r="A12" s="11" t="s">
        <v>96</v>
      </c>
      <c r="B12" s="12" t="n">
        <v>257</v>
      </c>
      <c r="C12" s="28" t="n">
        <v>5.1</v>
      </c>
      <c r="D12" s="12" t="n">
        <v>47</v>
      </c>
      <c r="E12" s="28" t="n">
        <v>6.7</v>
      </c>
    </row>
    <row r="13" customFormat="false" ht="15" hidden="false" customHeight="true" outlineLevel="0" collapsed="false">
      <c r="A13" s="11" t="s">
        <v>98</v>
      </c>
      <c r="B13" s="12" t="n">
        <v>209</v>
      </c>
      <c r="C13" s="28" t="n">
        <v>3.9</v>
      </c>
      <c r="D13" s="12" t="n">
        <v>32</v>
      </c>
      <c r="E13" s="28" t="n">
        <v>11.3</v>
      </c>
    </row>
    <row r="14" customFormat="false" ht="15" hidden="false" customHeight="true" outlineLevel="0" collapsed="false">
      <c r="A14" s="11" t="s">
        <v>97</v>
      </c>
      <c r="B14" s="12" t="n">
        <v>252</v>
      </c>
      <c r="C14" s="28" t="n">
        <v>3.9</v>
      </c>
      <c r="D14" s="12" t="n">
        <v>1</v>
      </c>
      <c r="E14" s="28" t="n">
        <v>30.5</v>
      </c>
    </row>
    <row r="15" customFormat="false" ht="15" hidden="false" customHeight="true" outlineLevel="0" collapsed="false">
      <c r="A15" s="24" t="s">
        <v>93</v>
      </c>
      <c r="B15" s="25" t="n">
        <v>5352</v>
      </c>
      <c r="C15" s="27" t="n">
        <v>2.3</v>
      </c>
      <c r="D15" s="25" t="n">
        <v>710</v>
      </c>
      <c r="E15" s="27" t="n">
        <v>4.1</v>
      </c>
    </row>
    <row r="17" customFormat="false" ht="15" hidden="false" customHeight="true" outlineLevel="0" collapsed="false">
      <c r="A17" s="3"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1"/>
    <col collapsed="false" customWidth="true" hidden="false" outlineLevel="0" max="4" min="3" style="1" width="22"/>
    <col collapsed="false" customWidth="true" hidden="false" outlineLevel="0" max="5" min="5" style="1" width="12"/>
  </cols>
  <sheetData>
    <row r="1" customFormat="false" ht="17.25" hidden="false" customHeight="true" outlineLevel="0" collapsed="false">
      <c r="A1" s="2" t="s">
        <v>139</v>
      </c>
    </row>
    <row r="2" customFormat="false" ht="15" hidden="false" customHeight="true" outlineLevel="0" collapsed="false">
      <c r="A2" s="3" t="s">
        <v>140</v>
      </c>
    </row>
    <row r="4" customFormat="false" ht="23.25" hidden="false" customHeight="true" outlineLevel="0" collapsed="false">
      <c r="A4" s="29" t="s">
        <v>85</v>
      </c>
      <c r="B4" s="29" t="s">
        <v>52</v>
      </c>
      <c r="C4" s="29" t="s">
        <v>141</v>
      </c>
      <c r="D4" s="29" t="s">
        <v>142</v>
      </c>
      <c r="E4" s="29" t="s">
        <v>143</v>
      </c>
    </row>
    <row r="5" customFormat="false" ht="15" hidden="false" customHeight="true" outlineLevel="0" collapsed="false">
      <c r="A5" s="30" t="s">
        <v>144</v>
      </c>
      <c r="B5" s="16" t="n">
        <v>5518</v>
      </c>
      <c r="C5" s="31" t="n">
        <v>2.3</v>
      </c>
      <c r="D5" s="31" t="n">
        <v>9.7</v>
      </c>
      <c r="E5" s="32" t="n">
        <f aca="false">D5/C5</f>
        <v>4.21739130434783</v>
      </c>
    </row>
    <row r="6" customFormat="false" ht="15" hidden="false" customHeight="true" outlineLevel="0" collapsed="false">
      <c r="A6" s="11" t="s">
        <v>145</v>
      </c>
      <c r="B6" s="12" t="n">
        <v>1316</v>
      </c>
      <c r="C6" s="28" t="n">
        <v>16.1</v>
      </c>
      <c r="D6" s="28" t="n">
        <v>28.6</v>
      </c>
      <c r="E6" s="33" t="n">
        <f aca="false">D6/C6</f>
        <v>1.77639751552795</v>
      </c>
    </row>
    <row r="7" customFormat="false" ht="15" hidden="false" customHeight="true" outlineLevel="0" collapsed="false">
      <c r="A7" s="11" t="s">
        <v>95</v>
      </c>
      <c r="B7" s="12" t="n">
        <v>1539</v>
      </c>
      <c r="C7" s="28" t="n">
        <v>6.2</v>
      </c>
      <c r="D7" s="28" t="n">
        <v>9.2</v>
      </c>
      <c r="E7" s="33" t="n">
        <f aca="false">D7/C7</f>
        <v>1.48387096774194</v>
      </c>
    </row>
    <row r="8" customFormat="false" ht="15" hidden="false" customHeight="true" outlineLevel="0" collapsed="false">
      <c r="A8" s="11" t="s">
        <v>146</v>
      </c>
      <c r="B8" s="12" t="n">
        <v>81</v>
      </c>
      <c r="C8" s="28" t="n">
        <v>18.8</v>
      </c>
      <c r="D8" s="28" t="n">
        <v>20.6</v>
      </c>
      <c r="E8" s="33" t="n">
        <f aca="false">D8/C8</f>
        <v>1.09574468085106</v>
      </c>
    </row>
    <row r="9" customFormat="false" ht="15" hidden="false" customHeight="true" outlineLevel="0" collapsed="false">
      <c r="A9" s="30" t="s">
        <v>147</v>
      </c>
      <c r="B9" s="16" t="n">
        <v>9628</v>
      </c>
      <c r="C9" s="31" t="n">
        <v>3.8</v>
      </c>
      <c r="D9" s="31" t="n">
        <v>14.4</v>
      </c>
      <c r="E9" s="32" t="n">
        <f aca="false">D9/C9</f>
        <v>3.78947368421053</v>
      </c>
    </row>
    <row r="11" customFormat="false" ht="15" hidden="false" customHeight="true" outlineLevel="0" collapsed="false">
      <c r="A11" s="3" t="s">
        <v>148</v>
      </c>
    </row>
    <row r="13" customFormat="false" ht="15" hidden="false" customHeight="true" outlineLevel="0" collapsed="false">
      <c r="A13" s="19" t="s">
        <v>149</v>
      </c>
    </row>
    <row r="14" customFormat="false" ht="15" hidden="false" customHeight="true" outlineLevel="0" collapsed="false">
      <c r="A14" s="29" t="s">
        <v>150</v>
      </c>
      <c r="B14" s="29" t="s">
        <v>52</v>
      </c>
      <c r="C14" s="29" t="s">
        <v>151</v>
      </c>
      <c r="D14" s="29" t="s">
        <v>152</v>
      </c>
    </row>
    <row r="15" customFormat="false" ht="15" hidden="false" customHeight="true" outlineLevel="0" collapsed="false">
      <c r="A15" s="11" t="s">
        <v>153</v>
      </c>
      <c r="B15" s="12" t="n">
        <v>3000</v>
      </c>
      <c r="C15" s="28" t="n">
        <v>1.8</v>
      </c>
      <c r="D15" s="12" t="n">
        <v>950</v>
      </c>
    </row>
    <row r="16" customFormat="false" ht="15" hidden="false" customHeight="true" outlineLevel="0" collapsed="false">
      <c r="A16" s="11" t="s">
        <v>154</v>
      </c>
      <c r="B16" s="12" t="n">
        <v>876</v>
      </c>
      <c r="C16" s="28" t="n">
        <v>3</v>
      </c>
      <c r="D16" s="12" t="n">
        <v>2087</v>
      </c>
    </row>
    <row r="17" customFormat="false" ht="15" hidden="false" customHeight="true" outlineLevel="0" collapsed="false">
      <c r="A17" s="11" t="s">
        <v>155</v>
      </c>
      <c r="B17" s="12" t="n">
        <v>734</v>
      </c>
      <c r="C17" s="28" t="n">
        <v>3.9</v>
      </c>
      <c r="D17" s="12" t="n">
        <v>4369</v>
      </c>
    </row>
    <row r="18" customFormat="false" ht="15" hidden="false" customHeight="true" outlineLevel="0" collapsed="false">
      <c r="A18" s="11" t="s">
        <v>156</v>
      </c>
      <c r="B18" s="12" t="n">
        <v>342</v>
      </c>
      <c r="C18" s="28" t="n">
        <v>4.9</v>
      </c>
      <c r="D18" s="12" t="n">
        <v>4697</v>
      </c>
    </row>
    <row r="19" customFormat="false" ht="15" hidden="false" customHeight="true" outlineLevel="0" collapsed="false">
      <c r="A19" s="11" t="s">
        <v>157</v>
      </c>
      <c r="B19" s="12" t="n">
        <v>175</v>
      </c>
      <c r="C19" s="28" t="n">
        <v>8.9</v>
      </c>
      <c r="D19" s="12" t="n">
        <v>4168</v>
      </c>
    </row>
    <row r="20" customFormat="false" ht="15" hidden="false" customHeight="true" outlineLevel="0" collapsed="false">
      <c r="A20" s="11" t="s">
        <v>158</v>
      </c>
      <c r="B20" s="12" t="n">
        <v>96</v>
      </c>
      <c r="C20" s="28" t="n">
        <v>10.9</v>
      </c>
      <c r="D20" s="12" t="n">
        <v>3202</v>
      </c>
    </row>
    <row r="21" customFormat="false" ht="15" hidden="false" customHeight="true" outlineLevel="0" collapsed="false">
      <c r="A21" s="11" t="s">
        <v>159</v>
      </c>
      <c r="B21" s="12" t="n">
        <v>73</v>
      </c>
      <c r="C21" s="28" t="n">
        <v>10.3</v>
      </c>
      <c r="D21" s="12" t="n">
        <v>3119</v>
      </c>
    </row>
    <row r="22" customFormat="false" ht="15" hidden="false" customHeight="true" outlineLevel="0" collapsed="false">
      <c r="A22" s="34" t="s">
        <v>160</v>
      </c>
      <c r="B22" s="35" t="n">
        <v>186</v>
      </c>
      <c r="C22" s="36" t="n">
        <v>10.8</v>
      </c>
      <c r="D22" s="35" t="n">
        <v>9283</v>
      </c>
    </row>
    <row r="23" customFormat="false" ht="15" hidden="false" customHeight="true" outlineLevel="0" collapsed="false">
      <c r="A23" s="11" t="s">
        <v>161</v>
      </c>
      <c r="B23" s="12" t="n">
        <v>14</v>
      </c>
      <c r="C23" s="28" t="n">
        <v>12.8</v>
      </c>
      <c r="D23" s="12" t="n">
        <v>833</v>
      </c>
    </row>
    <row r="24" customFormat="false" ht="15" hidden="false" customHeight="true" outlineLevel="0" collapsed="false">
      <c r="A24" s="11" t="s">
        <v>162</v>
      </c>
      <c r="B24" s="12" t="n">
        <v>6</v>
      </c>
      <c r="C24" s="28" t="n">
        <v>15.9</v>
      </c>
      <c r="D24" s="12" t="n">
        <v>573</v>
      </c>
    </row>
    <row r="25" customFormat="false" ht="15" hidden="false" customHeight="true" outlineLevel="0" collapsed="false">
      <c r="A25" s="11" t="s">
        <v>163</v>
      </c>
      <c r="B25" s="12" t="n">
        <v>16</v>
      </c>
      <c r="C25" s="28" t="n">
        <v>17.5</v>
      </c>
      <c r="D25" s="12" t="n">
        <v>6452</v>
      </c>
    </row>
    <row r="27" customFormat="false" ht="15" hidden="false" customHeight="true" outlineLevel="0" collapsed="false">
      <c r="A27" s="19" t="s">
        <v>164</v>
      </c>
    </row>
    <row r="28" customFormat="false" ht="23.25" hidden="false" customHeight="true" outlineLevel="0" collapsed="false">
      <c r="A28" s="29" t="s">
        <v>150</v>
      </c>
      <c r="B28" s="29" t="s">
        <v>165</v>
      </c>
    </row>
    <row r="29" customFormat="false" ht="15" hidden="false" customHeight="true" outlineLevel="0" collapsed="false">
      <c r="A29" s="11" t="s">
        <v>166</v>
      </c>
      <c r="B29" s="12" t="n">
        <v>50</v>
      </c>
    </row>
    <row r="30" customFormat="false" ht="15" hidden="false" customHeight="true" outlineLevel="0" collapsed="false">
      <c r="A30" s="15" t="s">
        <v>167</v>
      </c>
      <c r="B30" s="16" t="n">
        <v>209</v>
      </c>
    </row>
    <row r="31" customFormat="false" ht="15" hidden="false" customHeight="true" outlineLevel="0" collapsed="false">
      <c r="A31" s="11" t="s">
        <v>168</v>
      </c>
      <c r="B31" s="12" t="n">
        <v>5</v>
      </c>
    </row>
    <row r="33" customFormat="false" ht="15" hidden="false" customHeight="true" outlineLevel="0" collapsed="false">
      <c r="A33" s="3"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4"/>
    <col collapsed="false" customWidth="true" hidden="false" outlineLevel="0" max="4" min="4" style="1" width="26"/>
    <col collapsed="false" customWidth="true" hidden="false" outlineLevel="0" max="5" min="5" style="1" width="12"/>
    <col collapsed="false" customWidth="true" hidden="false" outlineLevel="0" max="6" min="6" style="1" width="14"/>
  </cols>
  <sheetData>
    <row r="1" customFormat="false" ht="17.25" hidden="false" customHeight="true" outlineLevel="0" collapsed="false">
      <c r="A1" s="2" t="s">
        <v>170</v>
      </c>
    </row>
    <row r="2" customFormat="false" ht="15" hidden="false" customHeight="true" outlineLevel="0" collapsed="false">
      <c r="A2" s="3" t="s">
        <v>171</v>
      </c>
    </row>
    <row r="4" customFormat="false" ht="15" hidden="false" customHeight="true" outlineLevel="0" collapsed="false">
      <c r="A4" s="19" t="s">
        <v>172</v>
      </c>
      <c r="D4" s="19" t="s">
        <v>173</v>
      </c>
    </row>
    <row r="5" customFormat="false" ht="15" hidden="false" customHeight="true" outlineLevel="0" collapsed="false">
      <c r="A5" s="29" t="s">
        <v>174</v>
      </c>
      <c r="B5" s="37" t="n">
        <v>11196</v>
      </c>
      <c r="C5" s="29"/>
      <c r="D5" s="38" t="s">
        <v>175</v>
      </c>
      <c r="E5" s="38" t="s">
        <v>52</v>
      </c>
      <c r="F5" s="38" t="s">
        <v>53</v>
      </c>
    </row>
    <row r="6" customFormat="false" ht="15" hidden="false" customHeight="true" outlineLevel="0" collapsed="false">
      <c r="A6" s="11" t="s">
        <v>176</v>
      </c>
      <c r="B6" s="16" t="n">
        <v>3120</v>
      </c>
      <c r="D6" s="34" t="s">
        <v>177</v>
      </c>
      <c r="E6" s="35" t="n">
        <v>308</v>
      </c>
      <c r="F6" s="35" t="n">
        <v>2444</v>
      </c>
    </row>
    <row r="7" customFormat="false" ht="15" hidden="false" customHeight="true" outlineLevel="0" collapsed="false">
      <c r="A7" s="20" t="s">
        <v>178</v>
      </c>
      <c r="B7" s="12" t="n">
        <f aca="false">B5+B6</f>
        <v>14316</v>
      </c>
      <c r="D7" s="11" t="s">
        <v>179</v>
      </c>
      <c r="E7" s="12" t="n">
        <v>501</v>
      </c>
      <c r="F7" s="12" t="n">
        <v>44030</v>
      </c>
    </row>
    <row r="8" customFormat="false" ht="15" hidden="false" customHeight="true" outlineLevel="0" collapsed="false">
      <c r="D8" s="11" t="s">
        <v>79</v>
      </c>
      <c r="E8" s="12" t="n">
        <v>399</v>
      </c>
      <c r="F8" s="12" t="n">
        <v>25744</v>
      </c>
    </row>
    <row r="9" customFormat="false" ht="15" hidden="false" customHeight="true" outlineLevel="0" collapsed="false">
      <c r="A9" s="19" t="s">
        <v>180</v>
      </c>
      <c r="D9" s="15" t="s">
        <v>80</v>
      </c>
      <c r="E9" s="16" t="n">
        <v>173</v>
      </c>
      <c r="F9" s="16" t="n">
        <v>6699</v>
      </c>
    </row>
    <row r="10" customFormat="false" ht="15" hidden="false" customHeight="true" outlineLevel="0" collapsed="false">
      <c r="A10" s="29" t="s">
        <v>181</v>
      </c>
      <c r="B10" s="29" t="s">
        <v>182</v>
      </c>
      <c r="D10" s="15" t="s">
        <v>81</v>
      </c>
      <c r="E10" s="16" t="n">
        <v>214</v>
      </c>
      <c r="F10" s="16" t="n">
        <v>7417</v>
      </c>
    </row>
    <row r="11" customFormat="false" ht="15" hidden="false" customHeight="true" outlineLevel="0" collapsed="false">
      <c r="A11" s="11" t="s">
        <v>183</v>
      </c>
      <c r="B11" s="12" t="n">
        <v>1673</v>
      </c>
      <c r="D11" s="15" t="s">
        <v>82</v>
      </c>
      <c r="E11" s="16" t="n">
        <v>92</v>
      </c>
      <c r="F11" s="16" t="n">
        <v>2200</v>
      </c>
    </row>
    <row r="12" customFormat="false" ht="15" hidden="false" customHeight="true" outlineLevel="0" collapsed="false">
      <c r="A12" s="11" t="s">
        <v>184</v>
      </c>
      <c r="B12" s="12" t="n">
        <v>643</v>
      </c>
    </row>
    <row r="13" customFormat="false" ht="15" hidden="false" customHeight="true" outlineLevel="0" collapsed="false">
      <c r="A13" s="11" t="s">
        <v>185</v>
      </c>
      <c r="B13" s="12" t="n">
        <v>354</v>
      </c>
      <c r="D13" s="3" t="s">
        <v>186</v>
      </c>
    </row>
    <row r="14" customFormat="false" ht="15" hidden="false" customHeight="true" outlineLevel="0" collapsed="false">
      <c r="A14" s="11" t="s">
        <v>15</v>
      </c>
      <c r="B14" s="12" t="n">
        <v>231</v>
      </c>
    </row>
    <row r="15" customFormat="false" ht="15" hidden="false" customHeight="true" outlineLevel="0" collapsed="false">
      <c r="A15" s="11" t="s">
        <v>21</v>
      </c>
      <c r="B15" s="12" t="n">
        <v>80</v>
      </c>
    </row>
    <row r="16" customFormat="false" ht="15" hidden="false" customHeight="true" outlineLevel="0" collapsed="false">
      <c r="A16" s="11" t="s">
        <v>187</v>
      </c>
      <c r="B16" s="12" t="n">
        <v>38</v>
      </c>
    </row>
    <row r="17" customFormat="false" ht="15" hidden="false" customHeight="true" outlineLevel="0" collapsed="false">
      <c r="A17" s="11" t="s">
        <v>188</v>
      </c>
      <c r="B17" s="12" t="n">
        <v>31</v>
      </c>
    </row>
    <row r="18" customFormat="false" ht="15" hidden="false" customHeight="true" outlineLevel="0" collapsed="false">
      <c r="A18" s="11" t="s">
        <v>189</v>
      </c>
      <c r="B18" s="12" t="n">
        <v>18</v>
      </c>
    </row>
    <row r="19" customFormat="false" ht="15" hidden="false" customHeight="true" outlineLevel="0" collapsed="false">
      <c r="A19" s="11" t="s">
        <v>59</v>
      </c>
      <c r="B19" s="12" t="n">
        <v>15</v>
      </c>
    </row>
    <row r="20" customFormat="false" ht="15" hidden="false" customHeight="true" outlineLevel="0" collapsed="false">
      <c r="A20" s="11" t="s">
        <v>190</v>
      </c>
      <c r="B20" s="12" t="n">
        <v>14</v>
      </c>
    </row>
    <row r="21" customFormat="false" ht="15" hidden="false" customHeight="true" outlineLevel="0" collapsed="false">
      <c r="A21" s="11" t="s">
        <v>191</v>
      </c>
      <c r="B21" s="12" t="n">
        <v>10</v>
      </c>
    </row>
    <row r="22" customFormat="false" ht="15" hidden="false" customHeight="true" outlineLevel="0" collapsed="false">
      <c r="A22" s="11" t="s">
        <v>192</v>
      </c>
      <c r="B22" s="12" t="n">
        <v>6</v>
      </c>
    </row>
    <row r="23" customFormat="false" ht="15" hidden="false" customHeight="true" outlineLevel="0" collapsed="false">
      <c r="A23" s="11" t="s">
        <v>193</v>
      </c>
      <c r="B23" s="12" t="n">
        <v>4</v>
      </c>
    </row>
    <row r="24" customFormat="false" ht="15" hidden="false" customHeight="true" outlineLevel="0" collapsed="false">
      <c r="A24" s="11" t="s">
        <v>194</v>
      </c>
      <c r="B24" s="12" t="n">
        <v>3</v>
      </c>
    </row>
    <row r="26" customFormat="false" ht="15" hidden="false" customHeight="true" outlineLevel="0" collapsed="false">
      <c r="A26" s="3" t="s">
        <v>195</v>
      </c>
    </row>
    <row r="27" customFormat="false" ht="15" hidden="false" customHeight="true" outlineLevel="0" collapsed="false">
      <c r="A27" s="3"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4"/>
    <col collapsed="false" customWidth="true" hidden="false" outlineLevel="0" max="5" min="4" style="1" width="12"/>
    <col collapsed="false" customWidth="true" hidden="false" outlineLevel="0" max="6" min="6" style="1" width="10"/>
  </cols>
  <sheetData>
    <row r="1" customFormat="false" ht="17.25" hidden="false" customHeight="true" outlineLevel="0" collapsed="false">
      <c r="A1" s="2" t="s">
        <v>197</v>
      </c>
    </row>
    <row r="2" customFormat="false" ht="15" hidden="false" customHeight="true" outlineLevel="0" collapsed="false">
      <c r="A2" s="3" t="s">
        <v>198</v>
      </c>
    </row>
    <row r="4" customFormat="false" ht="15" hidden="false" customHeight="true" outlineLevel="0" collapsed="false">
      <c r="A4" s="19" t="s">
        <v>199</v>
      </c>
    </row>
    <row r="5" customFormat="false" ht="15" hidden="false" customHeight="true" outlineLevel="0" collapsed="false">
      <c r="A5" s="29" t="s">
        <v>150</v>
      </c>
      <c r="B5" s="29" t="s">
        <v>52</v>
      </c>
      <c r="C5" s="29" t="s">
        <v>151</v>
      </c>
    </row>
    <row r="6" customFormat="false" ht="15" hidden="false" customHeight="true" outlineLevel="0" collapsed="false">
      <c r="A6" s="11" t="s">
        <v>200</v>
      </c>
      <c r="B6" s="12" t="n">
        <v>3000</v>
      </c>
      <c r="C6" s="28" t="n">
        <v>1.8</v>
      </c>
    </row>
    <row r="7" customFormat="false" ht="15" hidden="false" customHeight="true" outlineLevel="0" collapsed="false">
      <c r="A7" s="11" t="s">
        <v>201</v>
      </c>
      <c r="B7" s="12" t="n">
        <v>876</v>
      </c>
      <c r="C7" s="28" t="n">
        <v>3</v>
      </c>
    </row>
    <row r="8" customFormat="false" ht="15" hidden="false" customHeight="true" outlineLevel="0" collapsed="false">
      <c r="A8" s="11" t="s">
        <v>202</v>
      </c>
      <c r="B8" s="12" t="n">
        <v>1606</v>
      </c>
      <c r="C8" s="28" t="n">
        <v>5.3</v>
      </c>
    </row>
    <row r="9" customFormat="false" ht="15" hidden="false" customHeight="true" outlineLevel="0" collapsed="false">
      <c r="A9" s="11" t="s">
        <v>203</v>
      </c>
      <c r="B9" s="12" t="n">
        <v>36</v>
      </c>
      <c r="C9" s="28" t="n">
        <v>16</v>
      </c>
    </row>
    <row r="11" customFormat="false" ht="15" hidden="false" customHeight="true" outlineLevel="0" collapsed="false">
      <c r="A11" s="3" t="s">
        <v>204</v>
      </c>
    </row>
    <row r="12" customFormat="false" ht="15" hidden="false" customHeight="true" outlineLevel="0" collapsed="false">
      <c r="A12" s="3" t="s">
        <v>205</v>
      </c>
    </row>
    <row r="13" customFormat="false" ht="15" hidden="false" customHeight="true" outlineLevel="0" collapsed="false">
      <c r="A13" s="19" t="s">
        <v>206</v>
      </c>
    </row>
    <row r="14" customFormat="false" ht="15" hidden="false" customHeight="true" outlineLevel="0" collapsed="false">
      <c r="A14" s="29" t="s">
        <v>207</v>
      </c>
      <c r="B14" s="29" t="s">
        <v>208</v>
      </c>
      <c r="C14" s="29" t="s">
        <v>53</v>
      </c>
      <c r="D14" s="29" t="s">
        <v>209</v>
      </c>
      <c r="E14" s="29" t="s">
        <v>210</v>
      </c>
      <c r="F14" s="29" t="s">
        <v>211</v>
      </c>
    </row>
    <row r="15" customFormat="false" ht="15" hidden="false" customHeight="true" outlineLevel="0" collapsed="false">
      <c r="A15" s="11" t="s">
        <v>212</v>
      </c>
      <c r="B15" s="11" t="s">
        <v>213</v>
      </c>
      <c r="C15" s="39" t="n">
        <v>0.05</v>
      </c>
      <c r="D15" s="11" t="s">
        <v>214</v>
      </c>
      <c r="E15" s="11" t="s">
        <v>215</v>
      </c>
      <c r="F15" s="40" t="n">
        <v>1.8</v>
      </c>
    </row>
    <row r="16" customFormat="false" ht="15" hidden="false" customHeight="true" outlineLevel="0" collapsed="false">
      <c r="A16" s="11" t="s">
        <v>216</v>
      </c>
      <c r="B16" s="11" t="s">
        <v>217</v>
      </c>
      <c r="C16" s="39" t="n">
        <v>0.5</v>
      </c>
      <c r="D16" s="11" t="s">
        <v>218</v>
      </c>
      <c r="E16" s="11" t="s">
        <v>219</v>
      </c>
      <c r="F16" s="40" t="n">
        <v>4.5</v>
      </c>
    </row>
    <row r="17" customFormat="false" ht="15" hidden="false" customHeight="true" outlineLevel="0" collapsed="false">
      <c r="A17" s="11" t="s">
        <v>220</v>
      </c>
      <c r="B17" s="11" t="s">
        <v>221</v>
      </c>
      <c r="C17" s="39" t="n">
        <v>5</v>
      </c>
      <c r="D17" s="11" t="s">
        <v>222</v>
      </c>
      <c r="E17" s="11" t="s">
        <v>223</v>
      </c>
      <c r="F17" s="40" t="n">
        <v>2.1</v>
      </c>
    </row>
    <row r="18" customFormat="false" ht="15" hidden="false" customHeight="true" outlineLevel="0" collapsed="false">
      <c r="A18" s="11" t="s">
        <v>224</v>
      </c>
      <c r="B18" s="11" t="s">
        <v>225</v>
      </c>
      <c r="C18" s="39" t="n">
        <v>20</v>
      </c>
      <c r="D18" s="11" t="s">
        <v>226</v>
      </c>
      <c r="E18" s="11" t="s">
        <v>227</v>
      </c>
      <c r="F18" s="40" t="n">
        <v>3.3</v>
      </c>
    </row>
    <row r="19" customFormat="false" ht="15" hidden="false" customHeight="true" outlineLevel="0" collapsed="false">
      <c r="A19" s="11" t="s">
        <v>228</v>
      </c>
      <c r="B19" s="11" t="s">
        <v>229</v>
      </c>
      <c r="C19" s="39" t="n">
        <v>49</v>
      </c>
      <c r="D19" s="11" t="s">
        <v>230</v>
      </c>
      <c r="E19" s="11" t="s">
        <v>231</v>
      </c>
      <c r="F19" s="40" t="n">
        <v>5.3</v>
      </c>
    </row>
    <row r="20" customFormat="false" ht="15" hidden="false" customHeight="true" outlineLevel="0" collapsed="false">
      <c r="A20" s="15" t="s">
        <v>232</v>
      </c>
      <c r="B20" s="15" t="s">
        <v>233</v>
      </c>
      <c r="C20" s="41" t="n">
        <v>150</v>
      </c>
      <c r="D20" s="15" t="s">
        <v>234</v>
      </c>
      <c r="E20" s="15" t="s">
        <v>235</v>
      </c>
      <c r="F20" s="42" t="n">
        <v>16</v>
      </c>
    </row>
    <row r="21" customFormat="false" ht="15" hidden="false" customHeight="true" outlineLevel="0" collapsed="false">
      <c r="A21" s="15" t="s">
        <v>236</v>
      </c>
      <c r="B21" s="15" t="s">
        <v>233</v>
      </c>
      <c r="C21" s="41" t="n">
        <v>350</v>
      </c>
      <c r="D21" s="15" t="s">
        <v>237</v>
      </c>
      <c r="E21" s="15" t="s">
        <v>238</v>
      </c>
      <c r="F21" s="42" t="n">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4" min="2" style="1" width="12"/>
  </cols>
  <sheetData>
    <row r="1" customFormat="false" ht="17.25" hidden="false" customHeight="true" outlineLevel="0" collapsed="false">
      <c r="A1" s="2" t="s">
        <v>239</v>
      </c>
    </row>
    <row r="2" customFormat="false" ht="15" hidden="false" customHeight="true" outlineLevel="0" collapsed="false">
      <c r="A2" s="3" t="s">
        <v>240</v>
      </c>
    </row>
    <row r="4" customFormat="false" ht="15" hidden="false" customHeight="true" outlineLevel="0" collapsed="false">
      <c r="A4" s="19" t="s">
        <v>241</v>
      </c>
    </row>
    <row r="5" customFormat="false" ht="15" hidden="false" customHeight="true" outlineLevel="0" collapsed="false">
      <c r="A5" s="6" t="s">
        <v>119</v>
      </c>
      <c r="B5" s="6" t="s">
        <v>242</v>
      </c>
      <c r="C5" s="6" t="s">
        <v>243</v>
      </c>
      <c r="D5" s="6" t="s">
        <v>91</v>
      </c>
    </row>
    <row r="6" customFormat="false" ht="15" hidden="false" customHeight="true" outlineLevel="0" collapsed="false">
      <c r="A6" s="1" t="s">
        <v>120</v>
      </c>
      <c r="B6" s="12" t="n">
        <v>10145</v>
      </c>
      <c r="C6" s="12" t="n">
        <v>152</v>
      </c>
      <c r="D6" s="14" t="n">
        <f aca="false">C6/(B6+C6)</f>
        <v>0.0147615810430222</v>
      </c>
    </row>
    <row r="7" customFormat="false" ht="15" hidden="false" customHeight="true" outlineLevel="0" collapsed="false">
      <c r="A7" s="1" t="s">
        <v>121</v>
      </c>
      <c r="B7" s="12" t="n">
        <v>1999</v>
      </c>
      <c r="C7" s="12" t="n">
        <v>669</v>
      </c>
      <c r="D7" s="14" t="n">
        <f aca="false">C7/(B7+C7)</f>
        <v>0.250749625187406</v>
      </c>
    </row>
    <row r="8" customFormat="false" ht="15" hidden="false" customHeight="true" outlineLevel="0" collapsed="false">
      <c r="A8" s="1" t="s">
        <v>122</v>
      </c>
      <c r="B8" s="12" t="n">
        <v>723</v>
      </c>
      <c r="C8" s="12" t="n">
        <v>98</v>
      </c>
      <c r="D8" s="14" t="n">
        <f aca="false">C8/(B8+C8)</f>
        <v>0.119366626065773</v>
      </c>
    </row>
    <row r="9" customFormat="false" ht="15" hidden="false" customHeight="true" outlineLevel="0" collapsed="false">
      <c r="A9" s="1" t="s">
        <v>123</v>
      </c>
      <c r="B9" s="12" t="n">
        <v>529</v>
      </c>
      <c r="C9" s="12" t="n">
        <v>0</v>
      </c>
      <c r="D9" s="14" t="n">
        <f aca="false">C9/(B9+C9)</f>
        <v>0</v>
      </c>
    </row>
    <row r="11" customFormat="false" ht="15" hidden="false" customHeight="true" outlineLevel="0" collapsed="false">
      <c r="A11" s="19" t="s">
        <v>244</v>
      </c>
    </row>
    <row r="12" customFormat="false" ht="15" hidden="false" customHeight="true" outlineLevel="0" collapsed="false">
      <c r="A12" s="6" t="s">
        <v>85</v>
      </c>
      <c r="B12" s="6" t="s">
        <v>242</v>
      </c>
      <c r="C12" s="6" t="s">
        <v>243</v>
      </c>
      <c r="D12" s="6" t="s">
        <v>91</v>
      </c>
    </row>
    <row r="13" customFormat="false" ht="15" hidden="false" customHeight="true" outlineLevel="0" collapsed="false">
      <c r="A13" s="1" t="s">
        <v>102</v>
      </c>
      <c r="B13" s="12" t="n">
        <v>0</v>
      </c>
      <c r="C13" s="12" t="n">
        <v>101</v>
      </c>
      <c r="D13" s="14" t="n">
        <f aca="false">IF((B13+C13)=0,"",C13/(B13+C13))</f>
        <v>1</v>
      </c>
    </row>
    <row r="14" customFormat="false" ht="15" hidden="false" customHeight="true" outlineLevel="0" collapsed="false">
      <c r="A14" s="1" t="s">
        <v>105</v>
      </c>
      <c r="B14" s="12" t="n">
        <v>3</v>
      </c>
      <c r="C14" s="12" t="n">
        <v>28</v>
      </c>
      <c r="D14" s="14" t="n">
        <f aca="false">IF((B14+C14)=0,"",C14/(B14+C14))</f>
        <v>0.903225806451613</v>
      </c>
    </row>
    <row r="15" customFormat="false" ht="15" hidden="false" customHeight="true" outlineLevel="0" collapsed="false">
      <c r="A15" s="1" t="s">
        <v>106</v>
      </c>
      <c r="B15" s="12" t="n">
        <v>6</v>
      </c>
      <c r="C15" s="12" t="n">
        <v>12</v>
      </c>
      <c r="D15" s="14" t="n">
        <f aca="false">IF((B15+C15)=0,"",C15/(B15+C15))</f>
        <v>0.666666666666667</v>
      </c>
    </row>
    <row r="16" customFormat="false" ht="15" hidden="false" customHeight="true" outlineLevel="0" collapsed="false">
      <c r="A16" s="1" t="s">
        <v>94</v>
      </c>
      <c r="B16" s="12" t="n">
        <v>2365</v>
      </c>
      <c r="C16" s="12" t="n">
        <v>360</v>
      </c>
      <c r="D16" s="14" t="n">
        <f aca="false">IF((B16+C16)=0,"",C16/(B16+C16))</f>
        <v>0.132110091743119</v>
      </c>
    </row>
    <row r="17" customFormat="false" ht="15" hidden="false" customHeight="true" outlineLevel="0" collapsed="false">
      <c r="A17" s="1" t="s">
        <v>95</v>
      </c>
      <c r="B17" s="12" t="n">
        <v>2335</v>
      </c>
      <c r="C17" s="12" t="n">
        <v>270</v>
      </c>
      <c r="D17" s="14" t="n">
        <f aca="false">IF((B17+C17)=0,"",C17/(B17+C17))</f>
        <v>0.103646833013436</v>
      </c>
    </row>
    <row r="18" customFormat="false" ht="15" hidden="false" customHeight="true" outlineLevel="0" collapsed="false">
      <c r="A18" s="1" t="s">
        <v>104</v>
      </c>
      <c r="B18" s="12" t="n">
        <v>30</v>
      </c>
      <c r="C18" s="12" t="n">
        <v>3</v>
      </c>
      <c r="D18" s="14" t="n">
        <f aca="false">IF((B18+C18)=0,"",C18/(B18+C18))</f>
        <v>0.0909090909090909</v>
      </c>
    </row>
    <row r="19" customFormat="false" ht="15" hidden="false" customHeight="true" outlineLevel="0" collapsed="false">
      <c r="A19" s="1" t="s">
        <v>99</v>
      </c>
      <c r="B19" s="12" t="n">
        <v>198</v>
      </c>
      <c r="C19" s="12" t="n">
        <v>15</v>
      </c>
      <c r="D19" s="14" t="n">
        <f aca="false">IF((B19+C19)=0,"",C19/(B19+C19))</f>
        <v>0.0704225352112676</v>
      </c>
    </row>
    <row r="20" customFormat="false" ht="15" hidden="false" customHeight="true" outlineLevel="0" collapsed="false">
      <c r="A20" s="1" t="s">
        <v>100</v>
      </c>
      <c r="B20" s="12" t="n">
        <v>147</v>
      </c>
      <c r="C20" s="12" t="n">
        <v>7</v>
      </c>
      <c r="D20" s="14" t="n">
        <f aca="false">IF((B20+C20)=0,"",C20/(B20+C20))</f>
        <v>0.0454545454545455</v>
      </c>
    </row>
    <row r="21" customFormat="false" ht="15" hidden="false" customHeight="true" outlineLevel="0" collapsed="false">
      <c r="A21" s="1" t="s">
        <v>103</v>
      </c>
      <c r="B21" s="12" t="n">
        <v>64</v>
      </c>
      <c r="C21" s="12" t="n">
        <v>2</v>
      </c>
      <c r="D21" s="14" t="n">
        <f aca="false">IF((B21+C21)=0,"",C21/(B21+C21))</f>
        <v>0.0303030303030303</v>
      </c>
    </row>
    <row r="22" customFormat="false" ht="15" hidden="false" customHeight="true" outlineLevel="0" collapsed="false">
      <c r="A22" s="1" t="s">
        <v>98</v>
      </c>
      <c r="B22" s="12" t="n">
        <v>278</v>
      </c>
      <c r="C22" s="12" t="n">
        <v>8</v>
      </c>
      <c r="D22" s="14" t="n">
        <f aca="false">IF((B22+C22)=0,"",C22/(B22+C22))</f>
        <v>0.027972027972028</v>
      </c>
    </row>
    <row r="23" customFormat="false" ht="15" hidden="false" customHeight="true" outlineLevel="0" collapsed="false">
      <c r="A23" s="1" t="s">
        <v>101</v>
      </c>
      <c r="B23" s="12" t="n">
        <v>126</v>
      </c>
      <c r="C23" s="12" t="n">
        <v>2</v>
      </c>
      <c r="D23" s="14" t="n">
        <f aca="false">IF((B23+C23)=0,"",C23/(B23+C23))</f>
        <v>0.015625</v>
      </c>
    </row>
    <row r="24" customFormat="false" ht="15" hidden="false" customHeight="true" outlineLevel="0" collapsed="false">
      <c r="A24" s="1" t="s">
        <v>93</v>
      </c>
      <c r="B24" s="12" t="n">
        <v>7135</v>
      </c>
      <c r="C24" s="12" t="n">
        <v>100</v>
      </c>
      <c r="D24" s="14" t="n">
        <f aca="false">IF((B24+C24)=0,"",C24/(B24+C24))</f>
        <v>0.0138217000691085</v>
      </c>
    </row>
    <row r="25" customFormat="false" ht="15" hidden="false" customHeight="true" outlineLevel="0" collapsed="false">
      <c r="A25" s="1" t="s">
        <v>96</v>
      </c>
      <c r="B25" s="12" t="n">
        <v>382</v>
      </c>
      <c r="C25" s="12" t="n">
        <v>1</v>
      </c>
      <c r="D25" s="14" t="n">
        <f aca="false">IF((B25+C25)=0,"",C25/(B25+C25))</f>
        <v>0.00261096605744125</v>
      </c>
    </row>
    <row r="26" customFormat="false" ht="15" hidden="false" customHeight="true" outlineLevel="0" collapsed="false">
      <c r="A26" s="1" t="s">
        <v>97</v>
      </c>
      <c r="B26" s="12" t="n">
        <v>293</v>
      </c>
      <c r="C26" s="12" t="n">
        <v>0</v>
      </c>
      <c r="D26" s="14" t="n">
        <f aca="false">IF((B26+C26)=0,"",C26/(B26+C26))</f>
        <v>0</v>
      </c>
    </row>
    <row r="27" customFormat="false" ht="15" hidden="false" customHeight="true" outlineLevel="0" collapsed="false">
      <c r="A27" s="1" t="s">
        <v>107</v>
      </c>
      <c r="B27" s="12" t="n">
        <v>12</v>
      </c>
      <c r="C27" s="12" t="n">
        <v>0</v>
      </c>
      <c r="D27" s="14" t="n">
        <f aca="false">IF((B27+C27)=0,"",C27/(B27+C27))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12"/>
    <col collapsed="false" customWidth="true" hidden="false" outlineLevel="0" max="6" min="4" style="1" width="14"/>
    <col collapsed="false" customWidth="true" hidden="false" outlineLevel="0" max="7" min="7" style="1" width="16"/>
  </cols>
  <sheetData>
    <row r="1" customFormat="false" ht="17.25" hidden="false" customHeight="true" outlineLevel="0" collapsed="false">
      <c r="A1" s="2" t="s">
        <v>245</v>
      </c>
    </row>
    <row r="2" customFormat="false" ht="15" hidden="false" customHeight="true" outlineLevel="0" collapsed="false">
      <c r="A2" s="3" t="s">
        <v>246</v>
      </c>
    </row>
    <row r="4" customFormat="false" ht="23.25" hidden="false" customHeight="true" outlineLevel="0" collapsed="false">
      <c r="A4" s="6" t="s">
        <v>247</v>
      </c>
      <c r="B4" s="6" t="s">
        <v>248</v>
      </c>
      <c r="C4" s="6" t="s">
        <v>249</v>
      </c>
      <c r="D4" s="6" t="s">
        <v>250</v>
      </c>
      <c r="E4" s="6" t="s">
        <v>251</v>
      </c>
      <c r="F4" s="6" t="s">
        <v>252</v>
      </c>
      <c r="G4" s="6" t="s">
        <v>253</v>
      </c>
    </row>
    <row r="5" customFormat="false" ht="15" hidden="false" customHeight="true" outlineLevel="0" collapsed="false">
      <c r="A5" s="1" t="s">
        <v>254</v>
      </c>
      <c r="B5" s="1" t="n">
        <v>102</v>
      </c>
      <c r="C5" s="1" t="n">
        <v>38</v>
      </c>
      <c r="D5" s="14" t="n">
        <f aca="false">IF((B5+C5)=0,"",B5/(B5+C5))</f>
        <v>0.728571428571429</v>
      </c>
      <c r="E5" s="1" t="n">
        <v>64</v>
      </c>
      <c r="F5" s="1" t="n">
        <v>36</v>
      </c>
      <c r="G5" s="14" t="n">
        <f aca="false">IF((E5+F5)=0,"",E5/(E5+F5))</f>
        <v>0.64</v>
      </c>
    </row>
    <row r="6" customFormat="false" ht="15" hidden="false" customHeight="true" outlineLevel="0" collapsed="false">
      <c r="A6" s="1" t="s">
        <v>255</v>
      </c>
      <c r="B6" s="1" t="n">
        <v>123</v>
      </c>
      <c r="C6" s="1" t="n">
        <v>54</v>
      </c>
      <c r="D6" s="14" t="n">
        <f aca="false">IF((B6+C6)=0,"",B6/(B6+C6))</f>
        <v>0.694915254237288</v>
      </c>
      <c r="E6" s="1" t="n">
        <v>76</v>
      </c>
      <c r="F6" s="1" t="n">
        <v>44</v>
      </c>
      <c r="G6" s="14" t="n">
        <f aca="false">IF((E6+F6)=0,"",E6/(E6+F6))</f>
        <v>0.633333333333333</v>
      </c>
    </row>
    <row r="7" customFormat="false" ht="15" hidden="false" customHeight="true" outlineLevel="0" collapsed="false">
      <c r="A7" s="1" t="s">
        <v>256</v>
      </c>
      <c r="B7" s="1" t="n">
        <v>139</v>
      </c>
      <c r="C7" s="1" t="n">
        <v>57</v>
      </c>
      <c r="D7" s="14" t="n">
        <f aca="false">IF((B7+C7)=0,"",B7/(B7+C7))</f>
        <v>0.709183673469388</v>
      </c>
      <c r="E7" s="1" t="n">
        <v>70</v>
      </c>
      <c r="F7" s="1" t="n">
        <v>49</v>
      </c>
      <c r="G7" s="14" t="n">
        <f aca="false">IF((E7+F7)=0,"",E7/(E7+F7))</f>
        <v>0.588235294117647</v>
      </c>
    </row>
    <row r="8" customFormat="false" ht="15" hidden="false" customHeight="true" outlineLevel="0" collapsed="false">
      <c r="A8" s="1" t="s">
        <v>257</v>
      </c>
      <c r="B8" s="1" t="n">
        <v>248</v>
      </c>
      <c r="C8" s="1" t="n">
        <v>81</v>
      </c>
      <c r="D8" s="14" t="n">
        <f aca="false">IF((B8+C8)=0,"",B8/(B8+C8))</f>
        <v>0.753799392097264</v>
      </c>
      <c r="E8" s="1" t="n">
        <v>68</v>
      </c>
      <c r="F8" s="1" t="n">
        <v>61</v>
      </c>
      <c r="G8" s="14" t="n">
        <f aca="false">IF((E8+F8)=0,"",E8/(E8+F8))</f>
        <v>0.527131782945737</v>
      </c>
    </row>
    <row r="9" customFormat="false" ht="15" hidden="false" customHeight="true" outlineLevel="0" collapsed="false">
      <c r="A9" s="1" t="s">
        <v>258</v>
      </c>
      <c r="B9" s="1" t="n">
        <v>252</v>
      </c>
      <c r="C9" s="1" t="n">
        <v>101</v>
      </c>
      <c r="D9" s="14" t="n">
        <f aca="false">IF((B9+C9)=0,"",B9/(B9+C9))</f>
        <v>0.713881019830028</v>
      </c>
      <c r="E9" s="1" t="n">
        <v>90</v>
      </c>
      <c r="F9" s="1" t="n">
        <v>77</v>
      </c>
      <c r="G9" s="14" t="n">
        <f aca="false">IF((E9+F9)=0,"",E9/(E9+F9))</f>
        <v>0.538922155688623</v>
      </c>
    </row>
    <row r="10" customFormat="false" ht="15" hidden="false" customHeight="true" outlineLevel="0" collapsed="false">
      <c r="A10" s="1" t="s">
        <v>259</v>
      </c>
      <c r="B10" s="1" t="n">
        <v>377</v>
      </c>
      <c r="C10" s="1" t="n">
        <v>162</v>
      </c>
      <c r="D10" s="14" t="n">
        <f aca="false">IF((B10+C10)=0,"",B10/(B10+C10))</f>
        <v>0.699443413729128</v>
      </c>
      <c r="E10" s="1" t="n">
        <v>76</v>
      </c>
      <c r="F10" s="1" t="n">
        <v>87</v>
      </c>
      <c r="G10" s="14" t="n">
        <f aca="false">IF((E10+F10)=0,"",E10/(E10+F10))</f>
        <v>0.466257668711656</v>
      </c>
    </row>
    <row r="11" customFormat="false" ht="15" hidden="false" customHeight="true" outlineLevel="0" collapsed="false">
      <c r="A11" s="1" t="s">
        <v>260</v>
      </c>
      <c r="B11" s="1" t="n">
        <v>465</v>
      </c>
      <c r="C11" s="1" t="n">
        <v>219</v>
      </c>
      <c r="D11" s="14" t="n">
        <f aca="false">IF((B11+C11)=0,"",B11/(B11+C11))</f>
        <v>0.679824561403509</v>
      </c>
      <c r="E11" s="1" t="n">
        <v>64</v>
      </c>
      <c r="F11" s="1" t="n">
        <v>96</v>
      </c>
      <c r="G11" s="14" t="n">
        <f aca="false">IF((E11+F11)=0,"",E11/(E11+F11))</f>
        <v>0.4</v>
      </c>
    </row>
    <row r="12" customFormat="false" ht="15" hidden="false" customHeight="true" outlineLevel="0" collapsed="false">
      <c r="A12" s="1" t="s">
        <v>261</v>
      </c>
      <c r="B12" s="1" t="n">
        <v>599</v>
      </c>
      <c r="C12" s="1" t="n">
        <v>267</v>
      </c>
      <c r="D12" s="14" t="n">
        <f aca="false">IF((B12+C12)=0,"",B12/(B12+C12))</f>
        <v>0.691685912240185</v>
      </c>
      <c r="E12" s="1" t="n">
        <v>70</v>
      </c>
      <c r="F12" s="1" t="n">
        <v>98</v>
      </c>
      <c r="G12" s="14" t="n">
        <f aca="false">IF((E12+F12)=0,"",E12/(E12+F12))</f>
        <v>0.416666666666667</v>
      </c>
    </row>
    <row r="13" customFormat="false" ht="15" hidden="false" customHeight="true" outlineLevel="0" collapsed="false">
      <c r="A13" s="1" t="s">
        <v>262</v>
      </c>
      <c r="B13" s="1" t="n">
        <v>245</v>
      </c>
      <c r="C13" s="1" t="n">
        <v>99</v>
      </c>
      <c r="D13" s="14" t="n">
        <f aca="false">IF((B13+C13)=0,"",B13/(B13+C13))</f>
        <v>0.712209302325581</v>
      </c>
      <c r="E13" s="1" t="n">
        <v>41</v>
      </c>
      <c r="F13" s="1" t="n">
        <v>40</v>
      </c>
      <c r="G13" s="14" t="n">
        <f aca="false">IF((E13+F13)=0,"",E13/(E13+F13))</f>
        <v>0.506172839506173</v>
      </c>
    </row>
    <row r="14" customFormat="false" ht="15" hidden="false" customHeight="true" outlineLevel="0" collapsed="false">
      <c r="A14" s="1" t="s">
        <v>263</v>
      </c>
      <c r="B14" s="1" t="n">
        <v>128</v>
      </c>
      <c r="C14" s="1" t="n">
        <v>51</v>
      </c>
      <c r="D14" s="14" t="n">
        <f aca="false">IF((B14+C14)=0,"",B14/(B14+C14))</f>
        <v>0.715083798882682</v>
      </c>
      <c r="E14" s="1" t="n">
        <v>33</v>
      </c>
      <c r="F14" s="1" t="n">
        <v>40</v>
      </c>
      <c r="G14" s="14" t="n">
        <f aca="false">IF((E14+F14)=0,"",E14/(E14+F14))</f>
        <v>0.452054794520548</v>
      </c>
    </row>
    <row r="15" customFormat="false" ht="15" hidden="false" customHeight="true" outlineLevel="0" collapsed="false">
      <c r="A15" s="1" t="s">
        <v>264</v>
      </c>
      <c r="B15" s="1" t="n">
        <v>82</v>
      </c>
      <c r="C15" s="1" t="n">
        <v>31</v>
      </c>
      <c r="D15" s="14" t="n">
        <f aca="false">IF((B15+C15)=0,"",B15/(B15+C15))</f>
        <v>0.725663716814159</v>
      </c>
      <c r="E15" s="1" t="n">
        <v>22</v>
      </c>
      <c r="F15" s="1" t="n">
        <v>19</v>
      </c>
      <c r="G15" s="14" t="n">
        <f aca="false">IF((E15+F15)=0,"",E15/(E15+F15))</f>
        <v>0.536585365853659</v>
      </c>
    </row>
    <row r="16" customFormat="false" ht="15" hidden="false" customHeight="true" outlineLevel="0" collapsed="false">
      <c r="A16" s="1" t="s">
        <v>265</v>
      </c>
      <c r="B16" s="1" t="n">
        <v>188</v>
      </c>
      <c r="C16" s="1" t="n">
        <v>24</v>
      </c>
      <c r="D16" s="14" t="n">
        <f aca="false">IF((B16+C16)=0,"",B16/(B16+C16))</f>
        <v>0.886792452830189</v>
      </c>
      <c r="E16" s="1" t="n">
        <v>44</v>
      </c>
      <c r="F16" s="1" t="n">
        <v>16</v>
      </c>
      <c r="G16" s="14" t="n">
        <f aca="false">IF((E16+F16)=0,"",E16/(E16+F16))</f>
        <v>0.733333333333333</v>
      </c>
    </row>
    <row r="17" customFormat="false" ht="15" hidden="false" customHeight="true" outlineLevel="0" collapsed="false">
      <c r="A17" s="1" t="s">
        <v>266</v>
      </c>
      <c r="B17" s="1" t="n">
        <v>203</v>
      </c>
      <c r="C17" s="1" t="n">
        <v>22</v>
      </c>
      <c r="D17" s="14" t="n">
        <f aca="false">IF((B17+C17)=0,"",B17/(B17+C17))</f>
        <v>0.902222222222222</v>
      </c>
      <c r="E17" s="1" t="n">
        <v>44</v>
      </c>
      <c r="F17" s="1" t="n">
        <v>10</v>
      </c>
      <c r="G17" s="14" t="n">
        <f aca="false">IF((E17+F17)=0,"",E17/(E17+F17))</f>
        <v>0.814814814814815</v>
      </c>
    </row>
    <row r="18" customFormat="false" ht="15" hidden="false" customHeight="true" outlineLevel="0" collapsed="false">
      <c r="A18" s="1" t="s">
        <v>267</v>
      </c>
      <c r="B18" s="1" t="n">
        <v>513</v>
      </c>
      <c r="C18" s="1" t="n">
        <v>53</v>
      </c>
      <c r="D18" s="14" t="n">
        <f aca="false">IF((B18+C18)=0,"",B18/(B18+C18))</f>
        <v>0.906360424028269</v>
      </c>
      <c r="E18" s="1" t="n">
        <v>63</v>
      </c>
      <c r="F18" s="1" t="n">
        <v>12</v>
      </c>
      <c r="G18" s="14" t="n">
        <f aca="false">IF((E18+F18)=0,"",E18/(E18+F18))</f>
        <v>0.84</v>
      </c>
    </row>
    <row r="19" customFormat="false" ht="15" hidden="false" customHeight="true" outlineLevel="0" collapsed="false">
      <c r="A19" s="1" t="s">
        <v>268</v>
      </c>
      <c r="B19" s="1" t="n">
        <v>1007</v>
      </c>
      <c r="C19" s="1" t="n">
        <v>92</v>
      </c>
      <c r="D19" s="14" t="n">
        <f aca="false">IF((B19+C19)=0,"",B19/(B19+C19))</f>
        <v>0.916287534121929</v>
      </c>
      <c r="E19" s="1" t="n">
        <v>49</v>
      </c>
      <c r="F19" s="1" t="n">
        <v>7</v>
      </c>
      <c r="G19" s="14" t="n">
        <f aca="false">IF((E19+F19)=0,"",E19/(E19+F19))</f>
        <v>0.875</v>
      </c>
    </row>
    <row r="20" customFormat="false" ht="15" hidden="false" customHeight="true" outlineLevel="0" collapsed="false">
      <c r="A20" s="1" t="s">
        <v>269</v>
      </c>
      <c r="B20" s="1" t="n">
        <v>1392</v>
      </c>
      <c r="C20" s="1" t="n">
        <v>120</v>
      </c>
      <c r="D20" s="14" t="n">
        <f aca="false">IF((B20+C20)=0,"",B20/(B20+C20))</f>
        <v>0.920634920634921</v>
      </c>
      <c r="E20" s="1" t="n">
        <v>37</v>
      </c>
      <c r="F20" s="1" t="n">
        <v>8</v>
      </c>
      <c r="G20" s="14" t="n">
        <f aca="false">IF((E20+F20)=0,"",E20/(E20+F20))</f>
        <v>0.822222222222222</v>
      </c>
    </row>
    <row r="21" customFormat="false" ht="15" hidden="false" customHeight="true" outlineLevel="0" collapsed="false">
      <c r="A21" s="1" t="s">
        <v>270</v>
      </c>
      <c r="B21" s="1" t="n">
        <v>1265</v>
      </c>
      <c r="C21" s="1" t="n">
        <v>174</v>
      </c>
      <c r="D21" s="14" t="n">
        <f aca="false">IF((B21+C21)=0,"",B21/(B21+C21))</f>
        <v>0.879082696316887</v>
      </c>
      <c r="E21" s="1" t="n">
        <v>53</v>
      </c>
      <c r="F21" s="1" t="n">
        <v>14</v>
      </c>
      <c r="G21" s="14" t="n">
        <f aca="false">IF((E21+F21)=0,"",E21/(E21+F21))</f>
        <v>0.791044776119403</v>
      </c>
    </row>
    <row r="22" customFormat="false" ht="15" hidden="false" customHeight="true" outlineLevel="0" collapsed="false">
      <c r="A22" s="1" t="s">
        <v>271</v>
      </c>
      <c r="B22" s="1" t="n">
        <v>1498</v>
      </c>
      <c r="C22" s="1" t="n">
        <v>192</v>
      </c>
      <c r="D22" s="14" t="n">
        <f aca="false">IF((B22+C22)=0,"",B22/(B22+C22))</f>
        <v>0.886390532544379</v>
      </c>
      <c r="E22" s="1" t="n">
        <v>79</v>
      </c>
      <c r="F22" s="1" t="n">
        <v>11</v>
      </c>
      <c r="G22" s="14" t="n">
        <f aca="false">IF((E22+F22)=0,"",E22/(E22+F22))</f>
        <v>0.877777777777778</v>
      </c>
    </row>
    <row r="23" customFormat="false" ht="15" hidden="false" customHeight="true" outlineLevel="0" collapsed="false">
      <c r="A23" s="1" t="s">
        <v>272</v>
      </c>
      <c r="B23" s="1" t="n">
        <v>199</v>
      </c>
      <c r="C23" s="1" t="n">
        <v>25</v>
      </c>
      <c r="D23" s="14" t="n">
        <f aca="false">IF((B23+C23)=0,"",B23/(B23+C23))</f>
        <v>0.888392857142857</v>
      </c>
      <c r="E23" s="1" t="n">
        <v>9</v>
      </c>
      <c r="F23" s="1" t="n">
        <v>3</v>
      </c>
      <c r="G23" s="14" t="n">
        <f aca="false">IF((E23+F23)=0,"",E23/(E23+F23))</f>
        <v>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12"/>
    <col collapsed="false" customWidth="true" hidden="false" outlineLevel="0" max="4" min="4" style="1" width="10"/>
    <col collapsed="false" customWidth="true" hidden="false" outlineLevel="0" max="5" min="5" style="1" width="16"/>
  </cols>
  <sheetData>
    <row r="1" customFormat="false" ht="17.25" hidden="false" customHeight="true" outlineLevel="0" collapsed="false">
      <c r="A1" s="2" t="s">
        <v>273</v>
      </c>
    </row>
    <row r="2" customFormat="false" ht="15" hidden="false" customHeight="true" outlineLevel="0" collapsed="false">
      <c r="A2" s="3" t="s">
        <v>274</v>
      </c>
    </row>
    <row r="4" customFormat="false" ht="15" hidden="false" customHeight="true" outlineLevel="0" collapsed="false">
      <c r="A4" s="6" t="s">
        <v>247</v>
      </c>
      <c r="B4" s="6" t="s">
        <v>120</v>
      </c>
      <c r="C4" s="6" t="s">
        <v>121</v>
      </c>
      <c r="D4" s="6" t="s">
        <v>122</v>
      </c>
      <c r="E4" s="6" t="s">
        <v>123</v>
      </c>
    </row>
    <row r="5" customFormat="false" ht="15" hidden="false" customHeight="true" outlineLevel="0" collapsed="false">
      <c r="A5" s="1" t="s">
        <v>254</v>
      </c>
      <c r="B5" s="1" t="n">
        <v>60</v>
      </c>
      <c r="C5" s="1" t="n">
        <v>32</v>
      </c>
      <c r="D5" s="1" t="n">
        <v>11</v>
      </c>
      <c r="E5" s="1" t="n">
        <v>11</v>
      </c>
    </row>
    <row r="6" customFormat="false" ht="15" hidden="false" customHeight="true" outlineLevel="0" collapsed="false">
      <c r="A6" s="1" t="s">
        <v>255</v>
      </c>
      <c r="B6" s="1" t="n">
        <v>63</v>
      </c>
      <c r="C6" s="1" t="n">
        <v>58</v>
      </c>
      <c r="D6" s="1" t="n">
        <v>5</v>
      </c>
      <c r="E6" s="1" t="n">
        <v>12</v>
      </c>
    </row>
    <row r="7" customFormat="false" ht="15" hidden="false" customHeight="true" outlineLevel="0" collapsed="false">
      <c r="A7" s="1" t="s">
        <v>256</v>
      </c>
      <c r="B7" s="1" t="n">
        <v>58</v>
      </c>
      <c r="C7" s="1" t="n">
        <v>51</v>
      </c>
      <c r="D7" s="1" t="n">
        <v>8</v>
      </c>
      <c r="E7" s="1" t="n">
        <v>7</v>
      </c>
    </row>
    <row r="8" customFormat="false" ht="15" hidden="false" customHeight="true" outlineLevel="0" collapsed="false">
      <c r="A8" s="1" t="s">
        <v>257</v>
      </c>
      <c r="B8" s="1" t="n">
        <v>65</v>
      </c>
      <c r="C8" s="1" t="n">
        <v>79</v>
      </c>
      <c r="D8" s="1" t="n">
        <v>9</v>
      </c>
      <c r="E8" s="1" t="n">
        <v>16</v>
      </c>
    </row>
    <row r="9" customFormat="false" ht="15" hidden="false" customHeight="true" outlineLevel="0" collapsed="false">
      <c r="A9" s="1" t="s">
        <v>258</v>
      </c>
      <c r="B9" s="1" t="n">
        <v>52</v>
      </c>
      <c r="C9" s="1" t="n">
        <v>90</v>
      </c>
      <c r="D9" s="1" t="n">
        <v>10</v>
      </c>
      <c r="E9" s="1" t="n">
        <v>3</v>
      </c>
    </row>
    <row r="10" customFormat="false" ht="15" hidden="false" customHeight="true" outlineLevel="0" collapsed="false">
      <c r="A10" s="1" t="s">
        <v>259</v>
      </c>
      <c r="B10" s="1" t="n">
        <v>55</v>
      </c>
      <c r="C10" s="1" t="n">
        <v>99</v>
      </c>
      <c r="D10" s="1" t="n">
        <v>7</v>
      </c>
      <c r="E10" s="1" t="n">
        <v>16</v>
      </c>
    </row>
    <row r="11" customFormat="false" ht="15" hidden="false" customHeight="true" outlineLevel="0" collapsed="false">
      <c r="A11" s="1" t="s">
        <v>260</v>
      </c>
      <c r="B11" s="1" t="n">
        <v>53</v>
      </c>
      <c r="C11" s="1" t="n">
        <v>78</v>
      </c>
      <c r="D11" s="1" t="n">
        <v>18</v>
      </c>
      <c r="E11" s="1" t="n">
        <v>9</v>
      </c>
    </row>
    <row r="12" customFormat="false" ht="15" hidden="false" customHeight="true" outlineLevel="0" collapsed="false">
      <c r="A12" s="23" t="s">
        <v>261</v>
      </c>
      <c r="B12" s="23" t="n">
        <v>23</v>
      </c>
      <c r="C12" s="23" t="n">
        <v>78</v>
      </c>
      <c r="D12" s="23" t="n">
        <v>11</v>
      </c>
      <c r="E12" s="23" t="n">
        <v>14</v>
      </c>
    </row>
    <row r="13" customFormat="false" ht="15" hidden="false" customHeight="true" outlineLevel="0" collapsed="false">
      <c r="A13" s="23" t="s">
        <v>262</v>
      </c>
      <c r="B13" s="23" t="n">
        <v>4</v>
      </c>
      <c r="C13" s="23" t="n">
        <v>23</v>
      </c>
      <c r="D13" s="23" t="n">
        <v>3</v>
      </c>
      <c r="E13" s="23" t="n">
        <v>2</v>
      </c>
    </row>
    <row r="14" customFormat="false" ht="15" hidden="false" customHeight="true" outlineLevel="0" collapsed="false">
      <c r="A14" s="1" t="s">
        <v>263</v>
      </c>
      <c r="B14" s="1" t="n">
        <v>1</v>
      </c>
      <c r="C14" s="1" t="n">
        <v>22</v>
      </c>
      <c r="D14" s="1" t="n">
        <v>5</v>
      </c>
      <c r="E14" s="1" t="n">
        <v>4</v>
      </c>
    </row>
    <row r="15" customFormat="false" ht="15" hidden="false" customHeight="true" outlineLevel="0" collapsed="false">
      <c r="A15" s="1" t="s">
        <v>264</v>
      </c>
      <c r="B15" s="1" t="n">
        <v>3</v>
      </c>
      <c r="C15" s="1" t="n">
        <v>27</v>
      </c>
      <c r="D15" s="1" t="n">
        <v>3</v>
      </c>
      <c r="E15" s="1" t="n">
        <v>11</v>
      </c>
    </row>
    <row r="16" customFormat="false" ht="15" hidden="false" customHeight="true" outlineLevel="0" collapsed="false">
      <c r="A16" s="1" t="s">
        <v>265</v>
      </c>
      <c r="B16" s="1" t="n">
        <v>0</v>
      </c>
      <c r="C16" s="1" t="n">
        <v>44</v>
      </c>
      <c r="D16" s="1" t="n">
        <v>0</v>
      </c>
      <c r="E16" s="1" t="n">
        <v>55</v>
      </c>
    </row>
    <row r="17" customFormat="false" ht="15" hidden="false" customHeight="true" outlineLevel="0" collapsed="false">
      <c r="A17" s="1" t="s">
        <v>266</v>
      </c>
      <c r="B17" s="1" t="n">
        <v>3</v>
      </c>
      <c r="C17" s="1" t="n">
        <v>40</v>
      </c>
      <c r="D17" s="1" t="n">
        <v>3</v>
      </c>
      <c r="E17" s="1" t="n">
        <v>37</v>
      </c>
    </row>
    <row r="18" customFormat="false" ht="15" hidden="false" customHeight="true" outlineLevel="0" collapsed="false">
      <c r="A18" s="1" t="s">
        <v>267</v>
      </c>
      <c r="B18" s="1" t="n">
        <v>4</v>
      </c>
      <c r="C18" s="1" t="n">
        <v>40</v>
      </c>
      <c r="D18" s="1" t="n">
        <v>4</v>
      </c>
      <c r="E18" s="1" t="n">
        <v>20</v>
      </c>
    </row>
    <row r="19" customFormat="false" ht="15" hidden="false" customHeight="true" outlineLevel="0" collapsed="false">
      <c r="A19" s="1" t="s">
        <v>268</v>
      </c>
      <c r="B19" s="1" t="n">
        <v>10</v>
      </c>
      <c r="C19" s="1" t="n">
        <v>52</v>
      </c>
      <c r="D19" s="1" t="n">
        <v>3</v>
      </c>
      <c r="E19" s="1" t="n">
        <v>3</v>
      </c>
    </row>
    <row r="20" customFormat="false" ht="15" hidden="false" customHeight="true" outlineLevel="0" collapsed="false">
      <c r="A20" s="1" t="s">
        <v>269</v>
      </c>
      <c r="B20" s="1" t="n">
        <v>11</v>
      </c>
      <c r="C20" s="1" t="n">
        <v>61</v>
      </c>
      <c r="D20" s="1" t="n">
        <v>14</v>
      </c>
      <c r="E20" s="1" t="n">
        <v>33</v>
      </c>
    </row>
    <row r="21" customFormat="false" ht="15" hidden="false" customHeight="true" outlineLevel="0" collapsed="false">
      <c r="A21" s="1" t="s">
        <v>270</v>
      </c>
      <c r="B21" s="1" t="n">
        <v>26</v>
      </c>
      <c r="C21" s="1" t="n">
        <v>61</v>
      </c>
      <c r="D21" s="1" t="n">
        <v>5</v>
      </c>
      <c r="E21" s="1" t="n">
        <v>24</v>
      </c>
    </row>
    <row r="22" customFormat="false" ht="15" hidden="false" customHeight="true" outlineLevel="0" collapsed="false">
      <c r="A22" s="1" t="s">
        <v>271</v>
      </c>
      <c r="B22" s="1" t="n">
        <v>42</v>
      </c>
      <c r="C22" s="1" t="n">
        <v>63</v>
      </c>
      <c r="D22" s="1" t="n">
        <v>12</v>
      </c>
      <c r="E22" s="1" t="n">
        <v>19</v>
      </c>
    </row>
    <row r="23" customFormat="false" ht="15" hidden="false" customHeight="true" outlineLevel="0" collapsed="false">
      <c r="A23" s="1" t="s">
        <v>272</v>
      </c>
      <c r="B23" s="1" t="n">
        <v>9</v>
      </c>
      <c r="C23" s="1" t="n">
        <v>10</v>
      </c>
      <c r="D23" s="1" t="n">
        <v>2</v>
      </c>
      <c r="E23" s="1" t="n">
        <v>0</v>
      </c>
    </row>
    <row r="25" customFormat="false" ht="15" hidden="false" customHeight="true" outlineLevel="0" collapsed="false">
      <c r="A25" s="3"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4"/>
    <col collapsed="false" customWidth="true" hidden="false" outlineLevel="0" max="4" min="4" style="1" width="10"/>
    <col collapsed="false" customWidth="true" hidden="false" outlineLevel="0" max="5" min="5" style="1" width="14"/>
  </cols>
  <sheetData>
    <row r="1" customFormat="false" ht="17.25" hidden="false" customHeight="true" outlineLevel="0" collapsed="false">
      <c r="A1" s="2" t="s">
        <v>276</v>
      </c>
    </row>
    <row r="2" customFormat="false" ht="15" hidden="false" customHeight="true" outlineLevel="0" collapsed="false">
      <c r="A2" s="3" t="s">
        <v>277</v>
      </c>
    </row>
    <row r="4" customFormat="false" ht="15" hidden="false" customHeight="true" outlineLevel="0" collapsed="false">
      <c r="A4" s="6" t="s">
        <v>247</v>
      </c>
      <c r="B4" s="6" t="s">
        <v>278</v>
      </c>
      <c r="C4" s="6" t="s">
        <v>145</v>
      </c>
      <c r="D4" s="6" t="s">
        <v>95</v>
      </c>
      <c r="E4" s="6" t="s">
        <v>146</v>
      </c>
    </row>
    <row r="5" customFormat="false" ht="15" hidden="false" customHeight="true" outlineLevel="0" collapsed="false">
      <c r="A5" s="1" t="s">
        <v>254</v>
      </c>
      <c r="B5" s="1" t="n">
        <v>0</v>
      </c>
      <c r="C5" s="1" t="n">
        <v>114</v>
      </c>
      <c r="D5" s="1" t="n">
        <v>2</v>
      </c>
      <c r="E5" s="1" t="n">
        <v>2</v>
      </c>
    </row>
    <row r="6" customFormat="false" ht="15" hidden="false" customHeight="true" outlineLevel="0" collapsed="false">
      <c r="A6" s="1" t="s">
        <v>255</v>
      </c>
      <c r="B6" s="1" t="n">
        <v>0</v>
      </c>
      <c r="C6" s="1" t="n">
        <v>138</v>
      </c>
      <c r="D6" s="1" t="n">
        <v>2</v>
      </c>
      <c r="E6" s="1" t="n">
        <v>5</v>
      </c>
    </row>
    <row r="7" customFormat="false" ht="15" hidden="false" customHeight="true" outlineLevel="0" collapsed="false">
      <c r="A7" s="1" t="s">
        <v>256</v>
      </c>
      <c r="B7" s="1" t="n">
        <v>28</v>
      </c>
      <c r="C7" s="1" t="n">
        <v>124</v>
      </c>
      <c r="D7" s="1" t="n">
        <v>0</v>
      </c>
      <c r="E7" s="1" t="n">
        <v>0</v>
      </c>
    </row>
    <row r="8" customFormat="false" ht="15" hidden="false" customHeight="true" outlineLevel="0" collapsed="false">
      <c r="A8" s="1" t="s">
        <v>257</v>
      </c>
      <c r="B8" s="1" t="n">
        <v>106</v>
      </c>
      <c r="C8" s="1" t="n">
        <v>169</v>
      </c>
      <c r="D8" s="1" t="n">
        <v>3</v>
      </c>
      <c r="E8" s="1" t="n">
        <v>3</v>
      </c>
    </row>
    <row r="9" customFormat="false" ht="15" hidden="false" customHeight="true" outlineLevel="0" collapsed="false">
      <c r="A9" s="1" t="s">
        <v>258</v>
      </c>
      <c r="B9" s="1" t="n">
        <v>221</v>
      </c>
      <c r="C9" s="1" t="n">
        <v>155</v>
      </c>
      <c r="D9" s="1" t="n">
        <v>0</v>
      </c>
      <c r="E9" s="1" t="n">
        <v>9</v>
      </c>
    </row>
    <row r="10" customFormat="false" ht="15" hidden="false" customHeight="true" outlineLevel="0" collapsed="false">
      <c r="A10" s="1" t="s">
        <v>259</v>
      </c>
      <c r="B10" s="1" t="n">
        <v>313</v>
      </c>
      <c r="C10" s="1" t="n">
        <v>177</v>
      </c>
      <c r="D10" s="1" t="n">
        <v>1</v>
      </c>
      <c r="E10" s="1" t="n">
        <v>7</v>
      </c>
    </row>
    <row r="11" customFormat="false" ht="15" hidden="false" customHeight="true" outlineLevel="0" collapsed="false">
      <c r="A11" s="1" t="s">
        <v>260</v>
      </c>
      <c r="B11" s="1" t="n">
        <v>512</v>
      </c>
      <c r="C11" s="1" t="n">
        <v>158</v>
      </c>
      <c r="D11" s="1" t="n">
        <v>4</v>
      </c>
      <c r="E11" s="1" t="n">
        <v>3</v>
      </c>
    </row>
    <row r="12" customFormat="false" ht="15" hidden="false" customHeight="true" outlineLevel="0" collapsed="false">
      <c r="A12" s="1" t="s">
        <v>261</v>
      </c>
      <c r="B12" s="1" t="n">
        <v>617</v>
      </c>
      <c r="C12" s="1" t="n">
        <v>126</v>
      </c>
      <c r="D12" s="1" t="n">
        <v>9</v>
      </c>
      <c r="E12" s="1" t="n">
        <v>4</v>
      </c>
    </row>
    <row r="13" customFormat="false" ht="15" hidden="false" customHeight="true" outlineLevel="0" collapsed="false">
      <c r="A13" s="1" t="s">
        <v>262</v>
      </c>
      <c r="B13" s="1" t="n">
        <v>32</v>
      </c>
      <c r="C13" s="1" t="n">
        <v>32</v>
      </c>
      <c r="D13" s="1" t="n">
        <v>36</v>
      </c>
      <c r="E13" s="1" t="n">
        <v>2</v>
      </c>
    </row>
    <row r="14" customFormat="false" ht="15" hidden="false" customHeight="true" outlineLevel="0" collapsed="false">
      <c r="A14" s="1" t="s">
        <v>263</v>
      </c>
      <c r="B14" s="1" t="n">
        <v>17</v>
      </c>
      <c r="C14" s="1" t="n">
        <v>32</v>
      </c>
      <c r="D14" s="1" t="n">
        <v>129</v>
      </c>
      <c r="E14" s="1" t="n">
        <v>0</v>
      </c>
    </row>
    <row r="15" customFormat="false" ht="15" hidden="false" customHeight="true" outlineLevel="0" collapsed="false">
      <c r="A15" s="1" t="s">
        <v>264</v>
      </c>
      <c r="B15" s="1" t="n">
        <v>39</v>
      </c>
      <c r="C15" s="1" t="n">
        <v>44</v>
      </c>
      <c r="D15" s="1" t="n">
        <v>74</v>
      </c>
      <c r="E15" s="1" t="n">
        <v>7</v>
      </c>
    </row>
    <row r="16" customFormat="false" ht="15" hidden="false" customHeight="true" outlineLevel="0" collapsed="false">
      <c r="A16" s="1" t="s">
        <v>265</v>
      </c>
      <c r="B16" s="1" t="n">
        <v>118</v>
      </c>
      <c r="C16" s="1" t="n">
        <v>99</v>
      </c>
      <c r="D16" s="1" t="n">
        <v>71</v>
      </c>
      <c r="E16" s="1" t="n">
        <v>3</v>
      </c>
    </row>
    <row r="17" customFormat="false" ht="15" hidden="false" customHeight="true" outlineLevel="0" collapsed="false">
      <c r="A17" s="1" t="s">
        <v>266</v>
      </c>
      <c r="B17" s="1" t="n">
        <v>170</v>
      </c>
      <c r="C17" s="1" t="n">
        <v>83</v>
      </c>
      <c r="D17" s="1" t="n">
        <v>105</v>
      </c>
      <c r="E17" s="1" t="n">
        <v>0</v>
      </c>
    </row>
    <row r="18" customFormat="false" ht="15" hidden="false" customHeight="true" outlineLevel="0" collapsed="false">
      <c r="A18" s="1" t="s">
        <v>267</v>
      </c>
      <c r="B18" s="1" t="n">
        <v>483</v>
      </c>
      <c r="C18" s="1" t="n">
        <v>68</v>
      </c>
      <c r="D18" s="1" t="n">
        <v>239</v>
      </c>
      <c r="E18" s="1" t="n">
        <v>2</v>
      </c>
    </row>
    <row r="19" customFormat="false" ht="15" hidden="false" customHeight="true" outlineLevel="0" collapsed="false">
      <c r="A19" s="1" t="s">
        <v>268</v>
      </c>
      <c r="B19" s="1" t="n">
        <v>969</v>
      </c>
      <c r="C19" s="1" t="n">
        <v>68</v>
      </c>
      <c r="D19" s="1" t="n">
        <v>332</v>
      </c>
      <c r="E19" s="1" t="n">
        <v>7</v>
      </c>
    </row>
    <row r="20" customFormat="false" ht="15" hidden="false" customHeight="true" outlineLevel="0" collapsed="false">
      <c r="A20" s="1" t="s">
        <v>269</v>
      </c>
      <c r="B20" s="1" t="n">
        <v>1259</v>
      </c>
      <c r="C20" s="1" t="n">
        <v>119</v>
      </c>
      <c r="D20" s="1" t="n">
        <v>395</v>
      </c>
      <c r="E20" s="1" t="n">
        <v>4</v>
      </c>
    </row>
    <row r="21" customFormat="false" ht="15" hidden="false" customHeight="true" outlineLevel="0" collapsed="false">
      <c r="A21" s="1" t="s">
        <v>270</v>
      </c>
      <c r="B21" s="1" t="n">
        <v>1011</v>
      </c>
      <c r="C21" s="1" t="n">
        <v>116</v>
      </c>
      <c r="D21" s="1" t="n">
        <v>543</v>
      </c>
      <c r="E21" s="1" t="n">
        <v>13</v>
      </c>
    </row>
    <row r="22" customFormat="false" ht="15" hidden="false" customHeight="true" outlineLevel="0" collapsed="false">
      <c r="A22" s="1" t="s">
        <v>271</v>
      </c>
      <c r="B22" s="1" t="n">
        <v>1090</v>
      </c>
      <c r="C22" s="1" t="n">
        <v>136</v>
      </c>
      <c r="D22" s="1" t="n">
        <v>579</v>
      </c>
      <c r="E22" s="1" t="n">
        <v>1</v>
      </c>
    </row>
    <row r="23" customFormat="false" ht="15" hidden="false" customHeight="true" outlineLevel="0" collapsed="false">
      <c r="A23" s="1" t="s">
        <v>272</v>
      </c>
      <c r="B23" s="1" t="n">
        <v>190</v>
      </c>
      <c r="C23" s="1" t="n">
        <v>21</v>
      </c>
      <c r="D23" s="1" t="n">
        <v>53</v>
      </c>
      <c r="E23" s="1"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3" min="2" style="1" width="34"/>
    <col collapsed="false" customWidth="true" hidden="false" outlineLevel="0" max="4" min="4" style="1" width="24"/>
    <col collapsed="false" customWidth="true" hidden="false" outlineLevel="0" max="5" min="5" style="1" width="14"/>
    <col collapsed="false" customWidth="true" hidden="false" outlineLevel="0" max="6" min="6" style="1" width="16"/>
    <col collapsed="false" customWidth="true" hidden="false" outlineLevel="0" max="7" min="7" style="1" width="26"/>
  </cols>
  <sheetData>
    <row r="1" customFormat="false" ht="17.25" hidden="false" customHeight="true" outlineLevel="0" collapsed="false">
      <c r="A1" s="2" t="s">
        <v>279</v>
      </c>
    </row>
    <row r="2" customFormat="false" ht="15" hidden="false" customHeight="true" outlineLevel="0" collapsed="false">
      <c r="A2" s="3" t="s">
        <v>280</v>
      </c>
    </row>
    <row r="4" customFormat="false" ht="15" hidden="false" customHeight="true" outlineLevel="0" collapsed="false">
      <c r="A4" s="6" t="s">
        <v>281</v>
      </c>
      <c r="B4" s="6" t="s">
        <v>207</v>
      </c>
      <c r="C4" s="6" t="s">
        <v>282</v>
      </c>
      <c r="D4" s="6" t="s">
        <v>85</v>
      </c>
      <c r="E4" s="6" t="s">
        <v>53</v>
      </c>
      <c r="F4" s="6" t="s">
        <v>119</v>
      </c>
      <c r="G4" s="6" t="s">
        <v>208</v>
      </c>
    </row>
    <row r="5" customFormat="false" ht="15" hidden="false" customHeight="true" outlineLevel="0" collapsed="false">
      <c r="A5" s="11" t="s">
        <v>283</v>
      </c>
      <c r="B5" s="11" t="s">
        <v>284</v>
      </c>
      <c r="C5" s="11" t="s">
        <v>285</v>
      </c>
      <c r="D5" s="11" t="s">
        <v>110</v>
      </c>
      <c r="E5" s="43" t="n">
        <v>35</v>
      </c>
      <c r="F5" s="11" t="s">
        <v>122</v>
      </c>
      <c r="G5" s="11" t="s">
        <v>286</v>
      </c>
    </row>
    <row r="6" customFormat="false" ht="15" hidden="false" customHeight="true" outlineLevel="0" collapsed="false">
      <c r="A6" s="11" t="s">
        <v>287</v>
      </c>
      <c r="B6" s="11" t="s">
        <v>288</v>
      </c>
      <c r="C6" s="11" t="s">
        <v>289</v>
      </c>
      <c r="D6" s="11" t="s">
        <v>98</v>
      </c>
      <c r="E6" s="43" t="n">
        <v>740</v>
      </c>
      <c r="F6" s="11" t="s">
        <v>120</v>
      </c>
      <c r="G6" s="11" t="s">
        <v>217</v>
      </c>
    </row>
    <row r="7" customFormat="false" ht="15" hidden="false" customHeight="true" outlineLevel="0" collapsed="false">
      <c r="A7" s="11" t="s">
        <v>290</v>
      </c>
      <c r="B7" s="11" t="s">
        <v>291</v>
      </c>
      <c r="C7" s="11" t="s">
        <v>292</v>
      </c>
      <c r="D7" s="11" t="s">
        <v>97</v>
      </c>
      <c r="E7" s="43" t="n">
        <v>2</v>
      </c>
      <c r="F7" s="11" t="s">
        <v>120</v>
      </c>
      <c r="G7" s="11" t="s">
        <v>293</v>
      </c>
    </row>
    <row r="8" customFormat="false" ht="15" hidden="false" customHeight="true" outlineLevel="0" collapsed="false">
      <c r="A8" s="11" t="s">
        <v>294</v>
      </c>
      <c r="B8" s="11" t="s">
        <v>295</v>
      </c>
      <c r="C8" s="11" t="s">
        <v>296</v>
      </c>
      <c r="D8" s="11" t="s">
        <v>97</v>
      </c>
      <c r="E8" s="43" t="n">
        <v>1</v>
      </c>
      <c r="F8" s="11" t="s">
        <v>121</v>
      </c>
      <c r="G8" s="11" t="s">
        <v>297</v>
      </c>
    </row>
    <row r="9" customFormat="false" ht="15" hidden="false" customHeight="true" outlineLevel="0" collapsed="false">
      <c r="A9" s="11" t="s">
        <v>298</v>
      </c>
      <c r="B9" s="11" t="s">
        <v>299</v>
      </c>
      <c r="C9" s="11" t="s">
        <v>300</v>
      </c>
      <c r="D9" s="11" t="s">
        <v>101</v>
      </c>
      <c r="E9" s="43" t="n">
        <v>1</v>
      </c>
      <c r="F9" s="11" t="s">
        <v>120</v>
      </c>
      <c r="G9" s="11" t="s">
        <v>301</v>
      </c>
    </row>
    <row r="10" customFormat="false" ht="15" hidden="false" customHeight="true" outlineLevel="0" collapsed="false">
      <c r="A10" s="11" t="s">
        <v>302</v>
      </c>
      <c r="B10" s="11" t="s">
        <v>303</v>
      </c>
      <c r="C10" s="11" t="s">
        <v>304</v>
      </c>
      <c r="D10" s="11" t="s">
        <v>99</v>
      </c>
      <c r="E10" s="43" t="n">
        <v>2.5</v>
      </c>
      <c r="F10" s="11" t="s">
        <v>122</v>
      </c>
      <c r="G10" s="11" t="s">
        <v>305</v>
      </c>
    </row>
    <row r="11" customFormat="false" ht="15" hidden="false" customHeight="true" outlineLevel="0" collapsed="false">
      <c r="A11" s="11" t="s">
        <v>306</v>
      </c>
      <c r="B11" s="11" t="s">
        <v>307</v>
      </c>
      <c r="C11" s="11" t="s">
        <v>308</v>
      </c>
      <c r="D11" s="11" t="s">
        <v>101</v>
      </c>
      <c r="E11" s="43" t="n">
        <v>7.2</v>
      </c>
      <c r="F11" s="11" t="s">
        <v>121</v>
      </c>
      <c r="G11" s="11" t="s">
        <v>309</v>
      </c>
    </row>
    <row r="12" customFormat="false" ht="15" hidden="false" customHeight="true" outlineLevel="0" collapsed="false">
      <c r="A12" s="11" t="s">
        <v>310</v>
      </c>
      <c r="B12" s="11" t="s">
        <v>311</v>
      </c>
      <c r="C12" s="11" t="s">
        <v>312</v>
      </c>
      <c r="D12" s="11" t="s">
        <v>105</v>
      </c>
      <c r="E12" s="43" t="n">
        <v>1</v>
      </c>
      <c r="F12" s="11" t="s">
        <v>121</v>
      </c>
      <c r="G12" s="11" t="s">
        <v>313</v>
      </c>
    </row>
    <row r="13" customFormat="false" ht="15" hidden="false" customHeight="true" outlineLevel="0" collapsed="false">
      <c r="A13" s="11" t="s">
        <v>314</v>
      </c>
      <c r="B13" s="11" t="s">
        <v>315</v>
      </c>
      <c r="C13" s="11" t="s">
        <v>316</v>
      </c>
      <c r="D13" s="11" t="s">
        <v>105</v>
      </c>
      <c r="E13" s="43" t="n">
        <v>1.2</v>
      </c>
      <c r="F13" s="11" t="s">
        <v>123</v>
      </c>
      <c r="G13" s="11" t="s">
        <v>317</v>
      </c>
    </row>
    <row r="14" customFormat="false" ht="15" hidden="false" customHeight="true" outlineLevel="0" collapsed="false">
      <c r="A14" s="11" t="s">
        <v>318</v>
      </c>
      <c r="B14" s="11" t="s">
        <v>319</v>
      </c>
      <c r="C14" s="11" t="s">
        <v>320</v>
      </c>
      <c r="D14" s="11" t="s">
        <v>102</v>
      </c>
      <c r="E14" s="43" t="n">
        <v>4</v>
      </c>
      <c r="F14" s="11" t="s">
        <v>120</v>
      </c>
      <c r="G14" s="11" t="s">
        <v>321</v>
      </c>
    </row>
    <row r="15" customFormat="false" ht="15" hidden="false" customHeight="true" outlineLevel="0" collapsed="false">
      <c r="A15" s="11" t="s">
        <v>322</v>
      </c>
      <c r="B15" s="11" t="s">
        <v>323</v>
      </c>
      <c r="C15" s="11" t="s">
        <v>115</v>
      </c>
      <c r="D15" s="11" t="s">
        <v>94</v>
      </c>
      <c r="E15" s="43" t="n">
        <v>9.2</v>
      </c>
      <c r="F15" s="11" t="s">
        <v>120</v>
      </c>
      <c r="G15" s="11" t="s">
        <v>324</v>
      </c>
    </row>
    <row r="16" customFormat="false" ht="15" hidden="false" customHeight="true" outlineLevel="0" collapsed="false">
      <c r="A16" s="11" t="s">
        <v>325</v>
      </c>
      <c r="B16" s="11" t="s">
        <v>326</v>
      </c>
      <c r="C16" s="11" t="s">
        <v>327</v>
      </c>
      <c r="D16" s="11" t="s">
        <v>94</v>
      </c>
      <c r="E16" s="43" t="n">
        <v>4</v>
      </c>
      <c r="F16" s="11" t="s">
        <v>120</v>
      </c>
      <c r="G16" s="11" t="s">
        <v>221</v>
      </c>
    </row>
    <row r="17" customFormat="false" ht="15" hidden="false" customHeight="true" outlineLevel="0" collapsed="false">
      <c r="A17" s="11" t="s">
        <v>328</v>
      </c>
      <c r="B17" s="11" t="s">
        <v>329</v>
      </c>
      <c r="C17" s="11" t="s">
        <v>330</v>
      </c>
      <c r="D17" s="11" t="s">
        <v>94</v>
      </c>
      <c r="E17" s="43" t="n">
        <v>5.6</v>
      </c>
      <c r="F17" s="11" t="s">
        <v>120</v>
      </c>
      <c r="G17" s="11" t="s">
        <v>221</v>
      </c>
    </row>
    <row r="18" customFormat="false" ht="15" hidden="false" customHeight="true" outlineLevel="0" collapsed="false">
      <c r="A18" s="11" t="s">
        <v>331</v>
      </c>
      <c r="B18" s="11" t="s">
        <v>332</v>
      </c>
      <c r="C18" s="11" t="s">
        <v>333</v>
      </c>
      <c r="D18" s="11" t="s">
        <v>94</v>
      </c>
      <c r="E18" s="43" t="n">
        <v>6</v>
      </c>
      <c r="F18" s="11" t="s">
        <v>120</v>
      </c>
      <c r="G18" s="11" t="s">
        <v>221</v>
      </c>
    </row>
    <row r="19" customFormat="false" ht="15" hidden="false" customHeight="true" outlineLevel="0" collapsed="false">
      <c r="A19" s="11" t="s">
        <v>334</v>
      </c>
      <c r="B19" s="11" t="s">
        <v>335</v>
      </c>
      <c r="C19" s="11" t="s">
        <v>336</v>
      </c>
      <c r="D19" s="11" t="s">
        <v>94</v>
      </c>
      <c r="E19" s="43" t="n">
        <v>2.3</v>
      </c>
      <c r="F19" s="11" t="s">
        <v>120</v>
      </c>
      <c r="G19" s="11" t="s">
        <v>337</v>
      </c>
    </row>
    <row r="20" customFormat="false" ht="15" hidden="false" customHeight="true" outlineLevel="0" collapsed="false">
      <c r="A20" s="11" t="s">
        <v>338</v>
      </c>
      <c r="B20" s="11" t="s">
        <v>339</v>
      </c>
      <c r="C20" s="11" t="s">
        <v>340</v>
      </c>
      <c r="D20" s="11" t="s">
        <v>94</v>
      </c>
      <c r="E20" s="43" t="n">
        <v>11</v>
      </c>
      <c r="F20" s="11" t="s">
        <v>121</v>
      </c>
      <c r="G20" s="11" t="s">
        <v>341</v>
      </c>
    </row>
    <row r="21" customFormat="false" ht="15" hidden="false" customHeight="true" outlineLevel="0" collapsed="false">
      <c r="A21" s="11" t="s">
        <v>342</v>
      </c>
      <c r="B21" s="11" t="s">
        <v>343</v>
      </c>
      <c r="C21" s="11" t="s">
        <v>344</v>
      </c>
      <c r="D21" s="11" t="s">
        <v>94</v>
      </c>
      <c r="E21" s="43" t="n">
        <v>13</v>
      </c>
      <c r="F21" s="11" t="s">
        <v>121</v>
      </c>
      <c r="G21" s="11" t="s">
        <v>345</v>
      </c>
    </row>
    <row r="22" customFormat="false" ht="15" hidden="false" customHeight="true" outlineLevel="0" collapsed="false">
      <c r="A22" s="11" t="s">
        <v>346</v>
      </c>
      <c r="B22" s="11" t="s">
        <v>347</v>
      </c>
      <c r="C22" s="11" t="s">
        <v>348</v>
      </c>
      <c r="D22" s="11" t="s">
        <v>95</v>
      </c>
      <c r="E22" s="43" t="n">
        <v>0.2</v>
      </c>
      <c r="F22" s="11" t="s">
        <v>120</v>
      </c>
      <c r="G22" s="11" t="s">
        <v>337</v>
      </c>
    </row>
    <row r="23" customFormat="false" ht="15" hidden="false" customHeight="true" outlineLevel="0" collapsed="false">
      <c r="A23" s="11" t="s">
        <v>349</v>
      </c>
      <c r="B23" s="11" t="s">
        <v>350</v>
      </c>
      <c r="C23" s="11" t="s">
        <v>351</v>
      </c>
      <c r="D23" s="11" t="s">
        <v>95</v>
      </c>
      <c r="E23" s="43" t="n">
        <v>0.1</v>
      </c>
      <c r="F23" s="11" t="s">
        <v>121</v>
      </c>
      <c r="G23" s="11" t="s">
        <v>352</v>
      </c>
    </row>
    <row r="24" customFormat="false" ht="15" hidden="false" customHeight="true" outlineLevel="0" collapsed="false">
      <c r="A24" s="11" t="s">
        <v>353</v>
      </c>
      <c r="B24" s="11" t="s">
        <v>354</v>
      </c>
      <c r="C24" s="11" t="s">
        <v>355</v>
      </c>
      <c r="D24" s="11" t="s">
        <v>111</v>
      </c>
      <c r="E24" s="43" t="n">
        <v>0.4</v>
      </c>
      <c r="F24" s="11" t="s">
        <v>120</v>
      </c>
      <c r="G24" s="11" t="s">
        <v>356</v>
      </c>
    </row>
    <row r="25" customFormat="false" ht="15" hidden="false" customHeight="true" outlineLevel="0" collapsed="false">
      <c r="A25" s="11" t="s">
        <v>357</v>
      </c>
      <c r="B25" s="11" t="s">
        <v>358</v>
      </c>
      <c r="C25" s="11" t="s">
        <v>359</v>
      </c>
      <c r="D25" s="11" t="s">
        <v>95</v>
      </c>
      <c r="E25" s="43" t="n">
        <v>6</v>
      </c>
      <c r="F25" s="11" t="s">
        <v>120</v>
      </c>
      <c r="G25" s="11"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92"/>
  </cols>
  <sheetData>
    <row r="1" customFormat="false" ht="17.25" hidden="false" customHeight="true" outlineLevel="0" collapsed="false">
      <c r="A1" s="2" t="s">
        <v>361</v>
      </c>
    </row>
    <row r="2" customFormat="false" ht="15" hidden="false" customHeight="true" outlineLevel="0" collapsed="false">
      <c r="A2" s="3" t="s">
        <v>362</v>
      </c>
    </row>
    <row r="4" customFormat="false" ht="34.5" hidden="false" customHeight="true" outlineLevel="0" collapsed="false">
      <c r="A4" s="4" t="s">
        <v>363</v>
      </c>
      <c r="B4" s="5" t="s">
        <v>364</v>
      </c>
    </row>
    <row r="5" customFormat="false" ht="23.25" hidden="false" customHeight="true" outlineLevel="0" collapsed="false">
      <c r="A5" s="4" t="s">
        <v>365</v>
      </c>
      <c r="B5" s="5" t="s">
        <v>366</v>
      </c>
    </row>
    <row r="6" customFormat="false" ht="23.25" hidden="false" customHeight="true" outlineLevel="0" collapsed="false">
      <c r="A6" s="4" t="s">
        <v>367</v>
      </c>
      <c r="B6" s="5" t="s">
        <v>368</v>
      </c>
    </row>
    <row r="7" customFormat="false" ht="15" hidden="false" customHeight="true" outlineLevel="0" collapsed="false">
      <c r="A7" s="4"/>
      <c r="B7" s="5"/>
    </row>
    <row r="8" customFormat="false" ht="15" hidden="false" customHeight="true" outlineLevel="0" collapsed="false">
      <c r="A8" s="4" t="s">
        <v>369</v>
      </c>
      <c r="B8" s="5"/>
    </row>
    <row r="9" customFormat="false" ht="15" hidden="false" customHeight="true" outlineLevel="0" collapsed="false">
      <c r="A9" s="4" t="s">
        <v>370</v>
      </c>
      <c r="B9" s="44" t="n">
        <v>14316</v>
      </c>
    </row>
    <row r="10" customFormat="false" ht="15" hidden="false" customHeight="true" outlineLevel="0" collapsed="false">
      <c r="A10" s="4" t="s">
        <v>371</v>
      </c>
      <c r="B10" s="44" t="n">
        <v>919</v>
      </c>
    </row>
    <row r="11" customFormat="false" ht="15" hidden="false" customHeight="true" outlineLevel="0" collapsed="false">
      <c r="A11" s="4" t="s">
        <v>372</v>
      </c>
      <c r="B11" s="44" t="n">
        <v>13397</v>
      </c>
    </row>
    <row r="12" customFormat="false" ht="15" hidden="false" customHeight="true" outlineLevel="0" collapsed="false">
      <c r="A12" s="4" t="s">
        <v>373</v>
      </c>
      <c r="B12" s="44" t="n">
        <v>12805</v>
      </c>
    </row>
    <row r="13" customFormat="false" ht="15" hidden="false" customHeight="true" outlineLevel="0" collapsed="false">
      <c r="A13" s="4" t="s">
        <v>374</v>
      </c>
      <c r="B13" s="44" t="n">
        <v>592</v>
      </c>
    </row>
    <row r="14" customFormat="false" ht="15" hidden="false" customHeight="true" outlineLevel="0" collapsed="false">
      <c r="A14" s="4"/>
      <c r="B14" s="5"/>
    </row>
    <row r="15" customFormat="false" ht="15" hidden="false" customHeight="true" outlineLevel="0" collapsed="false">
      <c r="A15" s="4" t="s">
        <v>375</v>
      </c>
      <c r="B15" s="5" t="s">
        <v>376</v>
      </c>
    </row>
    <row r="16" customFormat="false" ht="15" hidden="false" customHeight="true" outlineLevel="0" collapsed="false">
      <c r="A16" s="4"/>
      <c r="B16" s="5"/>
    </row>
    <row r="17" customFormat="false" ht="15" hidden="false" customHeight="true" outlineLevel="0" collapsed="false">
      <c r="A17" s="4" t="s">
        <v>29</v>
      </c>
      <c r="B17" s="5"/>
    </row>
    <row r="18" customFormat="false" ht="23.25" hidden="false" customHeight="true" outlineLevel="0" collapsed="false">
      <c r="A18" s="4" t="s">
        <v>377</v>
      </c>
      <c r="B18" s="5" t="s">
        <v>378</v>
      </c>
    </row>
    <row r="19" customFormat="false" ht="23.25" hidden="false" customHeight="true" outlineLevel="0" collapsed="false">
      <c r="A19" s="4" t="s">
        <v>379</v>
      </c>
      <c r="B19" s="5" t="s">
        <v>380</v>
      </c>
    </row>
    <row r="20" customFormat="false" ht="23.25" hidden="false" customHeight="true" outlineLevel="0" collapsed="false">
      <c r="A20" s="4" t="s">
        <v>381</v>
      </c>
      <c r="B20" s="5" t="s">
        <v>382</v>
      </c>
    </row>
    <row r="21" customFormat="false" ht="23.25" hidden="false" customHeight="true" outlineLevel="0" collapsed="false">
      <c r="A21" s="4" t="s">
        <v>383</v>
      </c>
      <c r="B21" s="5" t="s">
        <v>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4" min="2" style="1" width="11"/>
    <col collapsed="false" customWidth="true" hidden="false" outlineLevel="0" max="5" min="5" style="1" width="14"/>
    <col collapsed="false" customWidth="true" hidden="false" outlineLevel="0" max="6" min="6" style="1" width="22"/>
    <col collapsed="false" customWidth="true" hidden="false" outlineLevel="0" max="7" min="7" style="1" width="14"/>
  </cols>
  <sheetData>
    <row r="1" customFormat="false" ht="17.25" hidden="false" customHeight="true" outlineLevel="0" collapsed="false">
      <c r="A1" s="2" t="s">
        <v>385</v>
      </c>
    </row>
    <row r="2" customFormat="false" ht="15" hidden="false" customHeight="true" outlineLevel="0" collapsed="false">
      <c r="A2" s="3" t="s">
        <v>386</v>
      </c>
    </row>
    <row r="4" customFormat="false" ht="23.25" hidden="false" customHeight="true" outlineLevel="0" collapsed="false">
      <c r="A4" s="29" t="s">
        <v>387</v>
      </c>
      <c r="B4" s="29" t="s">
        <v>52</v>
      </c>
      <c r="C4" s="29" t="s">
        <v>210</v>
      </c>
      <c r="D4" s="29" t="s">
        <v>17</v>
      </c>
      <c r="E4" s="29" t="s">
        <v>25</v>
      </c>
      <c r="F4" s="29" t="s">
        <v>388</v>
      </c>
      <c r="G4" s="29" t="s">
        <v>389</v>
      </c>
    </row>
    <row r="5" customFormat="false" ht="15" hidden="false" customHeight="true" outlineLevel="0" collapsed="false">
      <c r="A5" s="20" t="s">
        <v>390</v>
      </c>
      <c r="B5" s="12" t="n">
        <v>4531</v>
      </c>
      <c r="C5" s="12" t="n">
        <v>3909</v>
      </c>
      <c r="D5" s="12" t="n">
        <v>465</v>
      </c>
      <c r="E5" s="14" t="n">
        <f aca="false">IF((C5+D5)=0,"",C5/(C5+D5))</f>
        <v>0.893689986282579</v>
      </c>
      <c r="F5" s="12" t="n">
        <v>57653</v>
      </c>
      <c r="G5" s="12" t="n">
        <v>22195</v>
      </c>
    </row>
    <row r="6" customFormat="false" ht="15" hidden="false" customHeight="true" outlineLevel="0" collapsed="false">
      <c r="A6" s="20" t="s">
        <v>391</v>
      </c>
      <c r="B6" s="12" t="n">
        <v>3135</v>
      </c>
      <c r="C6" s="12" t="n">
        <v>2798</v>
      </c>
      <c r="D6" s="12" t="n">
        <v>264</v>
      </c>
      <c r="E6" s="14" t="n">
        <f aca="false">IF((C6+D6)=0,"",C6/(C6+D6))</f>
        <v>0.913781841933377</v>
      </c>
      <c r="F6" s="12" t="n">
        <v>33413</v>
      </c>
      <c r="G6" s="12" t="n">
        <v>9166</v>
      </c>
    </row>
    <row r="7" customFormat="false" ht="15" hidden="false" customHeight="true" outlineLevel="0" collapsed="false">
      <c r="A7" s="11" t="s">
        <v>392</v>
      </c>
      <c r="B7" s="12" t="n">
        <v>1021</v>
      </c>
      <c r="C7" s="12" t="n">
        <v>893</v>
      </c>
      <c r="D7" s="12" t="n">
        <v>104</v>
      </c>
      <c r="E7" s="14" t="n">
        <f aca="false">IF((C7+D7)=0,"",C7/(C7+D7))</f>
        <v>0.895687061183551</v>
      </c>
      <c r="F7" s="12" t="n">
        <v>10663</v>
      </c>
      <c r="G7" s="12" t="n">
        <v>1768</v>
      </c>
    </row>
    <row r="8" customFormat="false" ht="15" hidden="false" customHeight="true" outlineLevel="0" collapsed="false">
      <c r="A8" s="11" t="s">
        <v>393</v>
      </c>
      <c r="B8" s="12" t="n">
        <v>408</v>
      </c>
      <c r="C8" s="12" t="n">
        <v>376</v>
      </c>
      <c r="D8" s="12" t="n">
        <v>27</v>
      </c>
      <c r="E8" s="14" t="n">
        <f aca="false">IF((C8+D8)=0,"",C8/(C8+D8))</f>
        <v>0.933002481389578</v>
      </c>
      <c r="F8" s="12" t="n">
        <v>4487</v>
      </c>
      <c r="G8" s="12" t="n">
        <v>1184</v>
      </c>
    </row>
    <row r="9" customFormat="false" ht="15" hidden="false" customHeight="true" outlineLevel="0" collapsed="false">
      <c r="A9" s="11" t="s">
        <v>394</v>
      </c>
      <c r="B9" s="12" t="n">
        <v>56</v>
      </c>
      <c r="C9" s="12" t="n">
        <v>46</v>
      </c>
      <c r="D9" s="12" t="n">
        <v>8</v>
      </c>
      <c r="E9" s="14" t="n">
        <f aca="false">IF((C9+D9)=0,"",C9/(C9+D9))</f>
        <v>0.851851851851852</v>
      </c>
      <c r="F9" s="12" t="n">
        <v>916</v>
      </c>
      <c r="G9" s="12" t="n">
        <v>54</v>
      </c>
    </row>
    <row r="10" customFormat="false" ht="15" hidden="false" customHeight="true" outlineLevel="0" collapsed="false">
      <c r="A10" s="11" t="s">
        <v>395</v>
      </c>
      <c r="B10" s="12" t="n">
        <v>125</v>
      </c>
      <c r="C10" s="12" t="n">
        <v>111</v>
      </c>
      <c r="D10" s="12" t="n">
        <v>11</v>
      </c>
      <c r="E10" s="14" t="n">
        <f aca="false">IF((C10+D10)=0,"",C10/(C10+D10))</f>
        <v>0.909836065573771</v>
      </c>
      <c r="F10" s="12" t="n">
        <v>2028</v>
      </c>
      <c r="G10" s="12" t="n">
        <v>105</v>
      </c>
    </row>
    <row r="11" customFormat="false" ht="15" hidden="false" customHeight="true" outlineLevel="0" collapsed="false">
      <c r="A11" s="11" t="s">
        <v>396</v>
      </c>
      <c r="B11" s="12" t="n">
        <v>84</v>
      </c>
      <c r="C11" s="12" t="n">
        <v>77</v>
      </c>
      <c r="D11" s="12" t="n">
        <v>7</v>
      </c>
      <c r="E11" s="14" t="n">
        <f aca="false">IF((C11+D11)=0,"",C11/(C11+D11))</f>
        <v>0.916666666666667</v>
      </c>
      <c r="F11" s="12" t="n">
        <v>3158</v>
      </c>
      <c r="G11" s="12" t="n">
        <v>0</v>
      </c>
    </row>
    <row r="12" customFormat="false" ht="15" hidden="false" customHeight="true" outlineLevel="0" collapsed="false">
      <c r="A12" s="11" t="s">
        <v>397</v>
      </c>
      <c r="B12" s="12" t="n">
        <v>922</v>
      </c>
      <c r="C12" s="12" t="n">
        <v>757</v>
      </c>
      <c r="D12" s="12" t="n">
        <v>132</v>
      </c>
      <c r="E12" s="14" t="n">
        <f aca="false">IF((C12+D12)=0,"",C12/(C12+D12))</f>
        <v>0.851518560179978</v>
      </c>
      <c r="F12" s="12" t="n">
        <v>14811</v>
      </c>
      <c r="G12" s="12" t="n">
        <v>6570</v>
      </c>
    </row>
    <row r="13" customFormat="false" ht="15" hidden="false" customHeight="true" outlineLevel="0" collapsed="false">
      <c r="A13" s="11" t="s">
        <v>398</v>
      </c>
      <c r="B13" s="12" t="n">
        <v>222</v>
      </c>
      <c r="C13" s="12" t="n">
        <v>138</v>
      </c>
      <c r="D13" s="12" t="n">
        <v>73</v>
      </c>
      <c r="E13" s="14" t="n">
        <f aca="false">IF((C13+D13)=0,"",C13/(C13+D13))</f>
        <v>0.654028436018957</v>
      </c>
      <c r="F13" s="12" t="n">
        <v>1186</v>
      </c>
      <c r="G13" s="12" t="n">
        <v>790</v>
      </c>
    </row>
    <row r="15" customFormat="false" ht="15" hidden="false" customHeight="true" outlineLevel="0" collapsed="false">
      <c r="A15" s="3"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4" min="2" style="1" width="11"/>
    <col collapsed="false" customWidth="true" hidden="false" outlineLevel="0" max="5" min="5" style="1" width="14"/>
    <col collapsed="false" customWidth="true" hidden="false" outlineLevel="0" max="6" min="6" style="1" width="22"/>
    <col collapsed="false" customWidth="true" hidden="false" outlineLevel="0" max="7" min="7" style="1" width="14"/>
  </cols>
  <sheetData>
    <row r="1" customFormat="false" ht="17.25" hidden="false" customHeight="true" outlineLevel="0" collapsed="false">
      <c r="A1" s="2" t="s">
        <v>400</v>
      </c>
    </row>
    <row r="2" customFormat="false" ht="15" hidden="false" customHeight="true" outlineLevel="0" collapsed="false">
      <c r="A2" s="3" t="s">
        <v>401</v>
      </c>
    </row>
    <row r="4" customFormat="false" ht="23.25" hidden="false" customHeight="true" outlineLevel="0" collapsed="false">
      <c r="A4" s="29" t="s">
        <v>387</v>
      </c>
      <c r="B4" s="29" t="s">
        <v>52</v>
      </c>
      <c r="C4" s="29" t="s">
        <v>210</v>
      </c>
      <c r="D4" s="29" t="s">
        <v>17</v>
      </c>
      <c r="E4" s="29" t="s">
        <v>25</v>
      </c>
      <c r="F4" s="29" t="s">
        <v>388</v>
      </c>
      <c r="G4" s="29" t="s">
        <v>389</v>
      </c>
    </row>
    <row r="5" customFormat="false" ht="15" hidden="false" customHeight="true" outlineLevel="0" collapsed="false">
      <c r="A5" s="30" t="s">
        <v>390</v>
      </c>
      <c r="B5" s="16" t="n">
        <v>483</v>
      </c>
      <c r="C5" s="16" t="n">
        <v>272</v>
      </c>
      <c r="D5" s="16" t="n">
        <v>173</v>
      </c>
      <c r="E5" s="18" t="n">
        <f aca="false">IF((C5+D5)=0,"",C5/(C5+D5))</f>
        <v>0.61123595505618</v>
      </c>
      <c r="F5" s="16" t="n">
        <v>3279</v>
      </c>
      <c r="G5" s="16" t="n">
        <v>2239</v>
      </c>
    </row>
    <row r="6" customFormat="false" ht="15" hidden="false" customHeight="true" outlineLevel="0" collapsed="false">
      <c r="A6" s="20" t="s">
        <v>391</v>
      </c>
      <c r="B6" s="12" t="n">
        <v>437</v>
      </c>
      <c r="C6" s="12" t="n">
        <v>282</v>
      </c>
      <c r="D6" s="12" t="n">
        <v>129</v>
      </c>
      <c r="E6" s="14" t="n">
        <f aca="false">IF((C6+D6)=0,"",C6/(C6+D6))</f>
        <v>0.686131386861314</v>
      </c>
      <c r="F6" s="12" t="n">
        <v>3200</v>
      </c>
      <c r="G6" s="12" t="n">
        <v>2636</v>
      </c>
    </row>
    <row r="7" customFormat="false" ht="15" hidden="false" customHeight="true" outlineLevel="0" collapsed="false">
      <c r="A7" s="11" t="s">
        <v>392</v>
      </c>
      <c r="B7" s="12" t="n">
        <v>130</v>
      </c>
      <c r="C7" s="12" t="n">
        <v>89</v>
      </c>
      <c r="D7" s="12" t="n">
        <v>36</v>
      </c>
      <c r="E7" s="14" t="n">
        <f aca="false">IF((C7+D7)=0,"",C7/(C7+D7))</f>
        <v>0.712</v>
      </c>
      <c r="F7" s="12" t="n">
        <v>814</v>
      </c>
      <c r="G7" s="12" t="n">
        <v>756</v>
      </c>
    </row>
    <row r="8" customFormat="false" ht="15" hidden="false" customHeight="true" outlineLevel="0" collapsed="false">
      <c r="A8" s="11" t="s">
        <v>393</v>
      </c>
      <c r="B8" s="12" t="n">
        <v>59</v>
      </c>
      <c r="C8" s="12" t="n">
        <v>42</v>
      </c>
      <c r="D8" s="12" t="n">
        <v>14</v>
      </c>
      <c r="E8" s="14" t="n">
        <f aca="false">IF((C8+D8)=0,"",C8/(C8+D8))</f>
        <v>0.75</v>
      </c>
      <c r="F8" s="12" t="n">
        <v>746</v>
      </c>
      <c r="G8" s="12" t="n">
        <v>295</v>
      </c>
    </row>
    <row r="9" customFormat="false" ht="15" hidden="false" customHeight="true" outlineLevel="0" collapsed="false">
      <c r="A9" s="11" t="s">
        <v>397</v>
      </c>
      <c r="B9" s="12" t="n">
        <v>309</v>
      </c>
      <c r="C9" s="12" t="n">
        <v>207</v>
      </c>
      <c r="D9" s="12" t="n">
        <v>86</v>
      </c>
      <c r="E9" s="14" t="n">
        <f aca="false">IF((C9+D9)=0,"",C9/(C9+D9))</f>
        <v>0.706484641638225</v>
      </c>
      <c r="F9" s="12" t="n">
        <v>3364</v>
      </c>
      <c r="G9" s="12" t="n">
        <v>2146</v>
      </c>
    </row>
    <row r="10" customFormat="false" ht="15" hidden="false" customHeight="true" outlineLevel="0" collapsed="false">
      <c r="A10" s="11" t="s">
        <v>398</v>
      </c>
      <c r="B10" s="12" t="n">
        <v>141</v>
      </c>
      <c r="C10" s="12" t="n">
        <v>59</v>
      </c>
      <c r="D10" s="12" t="n">
        <v>72</v>
      </c>
      <c r="E10" s="14" t="n">
        <f aca="false">IF((C10+D10)=0,"",C10/(C10+D10))</f>
        <v>0.450381679389313</v>
      </c>
      <c r="F10" s="12" t="n">
        <v>718</v>
      </c>
      <c r="G10" s="12" t="n">
        <v>532</v>
      </c>
    </row>
    <row r="12" customFormat="false" ht="15" hidden="false" customHeight="true" outlineLevel="0" collapsed="false">
      <c r="A12" s="3" t="s">
        <v>402</v>
      </c>
    </row>
    <row r="13" customFormat="false" ht="15" hidden="false" customHeight="true" outlineLevel="0" collapsed="false">
      <c r="A13" s="3" t="s">
        <v>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4" min="3" style="1" width="12"/>
  </cols>
  <sheetData>
    <row r="1" customFormat="false" ht="17.25" hidden="false" customHeight="true" outlineLevel="0" collapsed="false">
      <c r="A1" s="2" t="s">
        <v>404</v>
      </c>
    </row>
    <row r="2" customFormat="false" ht="15" hidden="false" customHeight="true" outlineLevel="0" collapsed="false">
      <c r="A2" s="3" t="s">
        <v>405</v>
      </c>
    </row>
    <row r="4" customFormat="false" ht="15" hidden="false" customHeight="true" outlineLevel="0" collapsed="false">
      <c r="A4" s="29" t="s">
        <v>406</v>
      </c>
      <c r="B4" s="29" t="s">
        <v>145</v>
      </c>
      <c r="C4" s="29" t="s">
        <v>144</v>
      </c>
      <c r="D4" s="29" t="s">
        <v>95</v>
      </c>
    </row>
    <row r="5" customFormat="false" ht="15" hidden="false" customHeight="true" outlineLevel="0" collapsed="false">
      <c r="A5" s="11" t="s">
        <v>390</v>
      </c>
      <c r="B5" s="14" t="n">
        <v>0.611</v>
      </c>
      <c r="C5" s="14" t="n">
        <v>0.924</v>
      </c>
      <c r="D5" s="14" t="n">
        <v>0.933</v>
      </c>
    </row>
    <row r="6" customFormat="false" ht="15" hidden="false" customHeight="true" outlineLevel="0" collapsed="false">
      <c r="A6" s="11" t="s">
        <v>391</v>
      </c>
      <c r="B6" s="14" t="n">
        <v>0.686</v>
      </c>
      <c r="C6" s="14" t="n">
        <v>0.955</v>
      </c>
      <c r="D6" s="14" t="n">
        <v>0.929</v>
      </c>
    </row>
    <row r="7" customFormat="false" ht="15" hidden="false" customHeight="true" outlineLevel="0" collapsed="false">
      <c r="A7" s="11" t="s">
        <v>392</v>
      </c>
      <c r="B7" s="14" t="n">
        <v>0.712</v>
      </c>
      <c r="C7" s="14" t="n">
        <v>0.939</v>
      </c>
      <c r="D7" s="14" t="n">
        <v>0.882</v>
      </c>
    </row>
    <row r="8" customFormat="false" ht="15" hidden="false" customHeight="true" outlineLevel="0" collapsed="false">
      <c r="A8" s="11" t="s">
        <v>393</v>
      </c>
      <c r="B8" s="14" t="n">
        <v>0.75</v>
      </c>
      <c r="C8" s="14" t="n">
        <v>0.975</v>
      </c>
      <c r="D8" s="14" t="n">
        <v>0.926</v>
      </c>
    </row>
    <row r="9" customFormat="false" ht="15" hidden="false" customHeight="true" outlineLevel="0" collapsed="false">
      <c r="A9" s="11" t="s">
        <v>397</v>
      </c>
      <c r="B9" s="14" t="n">
        <v>0.706</v>
      </c>
      <c r="C9" s="14" t="n">
        <v>0.942</v>
      </c>
      <c r="D9" s="14" t="n">
        <v>0.877</v>
      </c>
    </row>
    <row r="11" customFormat="false" ht="15" hidden="false" customHeight="true" outlineLevel="0" collapsed="false">
      <c r="A11" s="3"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4" min="2" style="1" width="11"/>
    <col collapsed="false" customWidth="true" hidden="false" outlineLevel="0" max="5" min="5" style="1" width="14"/>
  </cols>
  <sheetData>
    <row r="1" customFormat="false" ht="17.25" hidden="false" customHeight="true" outlineLevel="0" collapsed="false">
      <c r="A1" s="2" t="s">
        <v>408</v>
      </c>
    </row>
    <row r="2" customFormat="false" ht="15" hidden="false" customHeight="true" outlineLevel="0" collapsed="false">
      <c r="A2" s="3" t="s">
        <v>409</v>
      </c>
    </row>
    <row r="3" customFormat="false" ht="15" hidden="false" customHeight="true" outlineLevel="0" collapsed="false">
      <c r="A3" s="19" t="s">
        <v>147</v>
      </c>
    </row>
    <row r="4" customFormat="false" ht="15" hidden="false" customHeight="true" outlineLevel="0" collapsed="false">
      <c r="A4" s="29"/>
      <c r="B4" s="29" t="s">
        <v>52</v>
      </c>
      <c r="C4" s="29" t="s">
        <v>210</v>
      </c>
      <c r="D4" s="29" t="s">
        <v>17</v>
      </c>
      <c r="E4" s="29" t="s">
        <v>25</v>
      </c>
    </row>
    <row r="5" customFormat="false" ht="15" hidden="false" customHeight="true" outlineLevel="0" collapsed="false">
      <c r="A5" s="1" t="s">
        <v>410</v>
      </c>
      <c r="B5" s="12" t="n">
        <v>4730</v>
      </c>
      <c r="C5" s="12" t="n">
        <v>4116</v>
      </c>
      <c r="D5" s="12" t="n">
        <v>459</v>
      </c>
      <c r="E5" s="14" t="n">
        <f aca="false">C5/(C5+D5)</f>
        <v>0.899672131147541</v>
      </c>
    </row>
    <row r="6" customFormat="false" ht="15" hidden="false" customHeight="true" outlineLevel="0" collapsed="false">
      <c r="A6" s="1" t="s">
        <v>411</v>
      </c>
      <c r="B6" s="12" t="n">
        <v>5774</v>
      </c>
      <c r="C6" s="12" t="n">
        <v>4989</v>
      </c>
      <c r="D6" s="12" t="n">
        <v>632</v>
      </c>
      <c r="E6" s="14" t="n">
        <f aca="false">C6/(C6+D6)</f>
        <v>0.887564490304216</v>
      </c>
    </row>
    <row r="8" customFormat="false" ht="15" hidden="false" customHeight="true" outlineLevel="0" collapsed="false">
      <c r="A8" s="19" t="s">
        <v>412</v>
      </c>
    </row>
    <row r="9" customFormat="false" ht="15" hidden="false" customHeight="true" outlineLevel="0" collapsed="false">
      <c r="A9" s="29"/>
      <c r="B9" s="29" t="s">
        <v>52</v>
      </c>
      <c r="C9" s="29" t="s">
        <v>210</v>
      </c>
      <c r="D9" s="29" t="s">
        <v>17</v>
      </c>
      <c r="E9" s="29" t="s">
        <v>25</v>
      </c>
    </row>
    <row r="10" customFormat="false" ht="15" hidden="false" customHeight="true" outlineLevel="0" collapsed="false">
      <c r="A10" s="1" t="s">
        <v>410</v>
      </c>
      <c r="B10" s="12" t="n">
        <v>466</v>
      </c>
      <c r="C10" s="12" t="n">
        <v>263</v>
      </c>
      <c r="D10" s="12" t="n">
        <v>169</v>
      </c>
      <c r="E10" s="14" t="n">
        <f aca="false">C10/(C10+D10)</f>
        <v>0.608796296296296</v>
      </c>
    </row>
    <row r="11" customFormat="false" ht="15" hidden="false" customHeight="true" outlineLevel="0" collapsed="false">
      <c r="A11" s="1" t="s">
        <v>411</v>
      </c>
      <c r="B11" s="12" t="n">
        <v>1099</v>
      </c>
      <c r="C11" s="12" t="n">
        <v>694</v>
      </c>
      <c r="D11" s="12" t="n">
        <v>341</v>
      </c>
      <c r="E11" s="14" t="n">
        <f aca="false">C11/(C11+D11)</f>
        <v>0.670531400966184</v>
      </c>
    </row>
    <row r="13" customFormat="false" ht="15" hidden="false" customHeight="true" outlineLevel="0" collapsed="false">
      <c r="A13" s="3"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5"/>
  </cols>
  <sheetData>
    <row r="1" customFormat="false" ht="17.35" hidden="false" customHeight="false" outlineLevel="0" collapsed="false">
      <c r="A1" s="45" t="s">
        <v>414</v>
      </c>
    </row>
    <row r="2" customFormat="false" ht="15" hidden="false" customHeight="false" outlineLevel="0" collapsed="false">
      <c r="A2" s="46" t="s">
        <v>415</v>
      </c>
    </row>
    <row r="4" customFormat="false" ht="23.85" hidden="false" customHeight="false" outlineLevel="0" collapsed="false">
      <c r="A4" s="47" t="s">
        <v>416</v>
      </c>
      <c r="B4" s="5" t="s">
        <v>417</v>
      </c>
    </row>
    <row r="5" customFormat="false" ht="23.85" hidden="false" customHeight="false" outlineLevel="0" collapsed="false">
      <c r="A5" s="47" t="s">
        <v>418</v>
      </c>
      <c r="B5" s="5" t="s">
        <v>419</v>
      </c>
    </row>
    <row r="6" customFormat="false" ht="23.85" hidden="false" customHeight="false" outlineLevel="0" collapsed="false">
      <c r="A6" s="47" t="s">
        <v>367</v>
      </c>
      <c r="B6" s="5" t="s">
        <v>420</v>
      </c>
    </row>
    <row r="7" customFormat="false" ht="15" hidden="false" customHeight="false" outlineLevel="0" collapsed="false">
      <c r="A7" s="47"/>
      <c r="B7" s="5"/>
    </row>
    <row r="8" customFormat="false" ht="15" hidden="false" customHeight="false" outlineLevel="0" collapsed="false">
      <c r="A8" s="47" t="s">
        <v>369</v>
      </c>
      <c r="B8" s="5"/>
    </row>
    <row r="9" customFormat="false" ht="15" hidden="false" customHeight="false" outlineLevel="0" collapsed="false">
      <c r="A9" s="47" t="s">
        <v>370</v>
      </c>
      <c r="B9" s="44" t="n">
        <v>14316</v>
      </c>
    </row>
    <row r="10" customFormat="false" ht="15" hidden="false" customHeight="false" outlineLevel="0" collapsed="false">
      <c r="A10" s="47" t="s">
        <v>421</v>
      </c>
      <c r="B10" s="44" t="n">
        <v>919</v>
      </c>
    </row>
    <row r="11" customFormat="false" ht="15" hidden="false" customHeight="false" outlineLevel="0" collapsed="false">
      <c r="A11" s="47" t="s">
        <v>422</v>
      </c>
      <c r="B11" s="44" t="n">
        <v>10149</v>
      </c>
    </row>
    <row r="12" customFormat="false" ht="15" hidden="false" customHeight="false" outlineLevel="0" collapsed="false">
      <c r="A12" s="47" t="s">
        <v>423</v>
      </c>
      <c r="B12" s="44" t="n">
        <v>5805</v>
      </c>
    </row>
    <row r="13" customFormat="false" ht="15" hidden="false" customHeight="false" outlineLevel="0" collapsed="false">
      <c r="A13" s="47" t="s">
        <v>424</v>
      </c>
      <c r="B13" s="44" t="n">
        <v>5343</v>
      </c>
    </row>
    <row r="14" customFormat="false" ht="15" hidden="false" customHeight="false" outlineLevel="0" collapsed="false">
      <c r="A14" s="47"/>
      <c r="B14" s="5"/>
    </row>
    <row r="15" customFormat="false" ht="15" hidden="false" customHeight="false" outlineLevel="0" collapsed="false">
      <c r="A15" s="47" t="s">
        <v>425</v>
      </c>
      <c r="B15" s="5"/>
    </row>
    <row r="16" customFormat="false" ht="23.85" hidden="false" customHeight="false" outlineLevel="0" collapsed="false">
      <c r="A16" s="47" t="s">
        <v>426</v>
      </c>
      <c r="B16" s="5" t="s">
        <v>427</v>
      </c>
    </row>
    <row r="17" customFormat="false" ht="35.05" hidden="false" customHeight="false" outlineLevel="0" collapsed="false">
      <c r="A17" s="47" t="s">
        <v>428</v>
      </c>
      <c r="B17" s="5" t="s">
        <v>429</v>
      </c>
    </row>
    <row r="18" customFormat="false" ht="23.85" hidden="false" customHeight="false" outlineLevel="0" collapsed="false">
      <c r="A18" s="47" t="s">
        <v>430</v>
      </c>
      <c r="B18" s="5"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4" min="2" style="0" width="11"/>
    <col collapsed="false" customWidth="true" hidden="false" outlineLevel="0" max="5" min="5" style="0" width="14"/>
    <col collapsed="false" customWidth="true" hidden="false" outlineLevel="0" max="6" min="6" style="0" width="22"/>
  </cols>
  <sheetData>
    <row r="1" customFormat="false" ht="17.35" hidden="false" customHeight="false" outlineLevel="0" collapsed="false">
      <c r="A1" s="45" t="s">
        <v>432</v>
      </c>
    </row>
    <row r="2" customFormat="false" ht="15" hidden="false" customHeight="false" outlineLevel="0" collapsed="false">
      <c r="A2" s="46" t="s">
        <v>433</v>
      </c>
    </row>
    <row r="4" customFormat="false" ht="15" hidden="false" customHeight="false" outlineLevel="0" collapsed="false">
      <c r="A4" s="48" t="s">
        <v>147</v>
      </c>
    </row>
    <row r="5" customFormat="false" ht="23.85" hidden="false" customHeight="false" outlineLevel="0" collapsed="false">
      <c r="A5" s="29" t="s">
        <v>434</v>
      </c>
      <c r="B5" s="29" t="s">
        <v>52</v>
      </c>
      <c r="C5" s="29" t="s">
        <v>210</v>
      </c>
      <c r="D5" s="29" t="s">
        <v>17</v>
      </c>
      <c r="E5" s="29" t="s">
        <v>25</v>
      </c>
      <c r="F5" s="29" t="s">
        <v>388</v>
      </c>
    </row>
    <row r="6" customFormat="false" ht="15" hidden="false" customHeight="false" outlineLevel="0" collapsed="false">
      <c r="A6" s="49" t="s">
        <v>435</v>
      </c>
      <c r="B6" s="50" t="n">
        <v>2893</v>
      </c>
      <c r="C6" s="50" t="n">
        <v>2696</v>
      </c>
      <c r="D6" s="50" t="n">
        <v>197</v>
      </c>
      <c r="E6" s="51" t="n">
        <f aca="false">IF((C6+D6)=0,"",C6/(C6+D6))</f>
        <v>0.931904597303837</v>
      </c>
      <c r="F6" s="50" t="n">
        <v>36253</v>
      </c>
    </row>
    <row r="7" customFormat="false" ht="15" hidden="false" customHeight="false" outlineLevel="0" collapsed="false">
      <c r="A7" s="49" t="s">
        <v>436</v>
      </c>
      <c r="B7" s="50" t="n">
        <v>1887</v>
      </c>
      <c r="C7" s="50" t="n">
        <v>1748</v>
      </c>
      <c r="D7" s="50" t="n">
        <v>139</v>
      </c>
      <c r="E7" s="51" t="n">
        <f aca="false">IF((C7+D7)=0,"",C7/(C7+D7))</f>
        <v>0.926338102808691</v>
      </c>
      <c r="F7" s="50" t="n">
        <v>25689</v>
      </c>
    </row>
    <row r="8" customFormat="false" ht="15" hidden="false" customHeight="false" outlineLevel="0" collapsed="false">
      <c r="A8" s="52" t="s">
        <v>437</v>
      </c>
      <c r="B8" s="50" t="n">
        <v>482</v>
      </c>
      <c r="C8" s="50" t="n">
        <v>421</v>
      </c>
      <c r="D8" s="50" t="n">
        <v>61</v>
      </c>
      <c r="E8" s="51" t="n">
        <f aca="false">IF((C8+D8)=0,"",C8/(C8+D8))</f>
        <v>0.87344398340249</v>
      </c>
      <c r="F8" s="50" t="n">
        <v>6419</v>
      </c>
    </row>
    <row r="9" customFormat="false" ht="15" hidden="false" customHeight="false" outlineLevel="0" collapsed="false">
      <c r="A9" s="52" t="s">
        <v>438</v>
      </c>
      <c r="B9" s="50" t="n">
        <v>158</v>
      </c>
      <c r="C9" s="50" t="n">
        <v>138</v>
      </c>
      <c r="D9" s="50" t="n">
        <v>20</v>
      </c>
      <c r="E9" s="51" t="n">
        <f aca="false">IF((C9+D9)=0,"",C9/(C9+D9))</f>
        <v>0.873417721518987</v>
      </c>
      <c r="F9" s="50" t="n">
        <v>1557</v>
      </c>
    </row>
    <row r="10" customFormat="false" ht="15" hidden="false" customHeight="false" outlineLevel="0" collapsed="false">
      <c r="A10" s="52" t="s">
        <v>439</v>
      </c>
      <c r="B10" s="50" t="n">
        <v>33</v>
      </c>
      <c r="C10" s="50" t="n">
        <v>27</v>
      </c>
      <c r="D10" s="50" t="n">
        <v>6</v>
      </c>
      <c r="E10" s="51" t="n">
        <f aca="false">IF((C10+D10)=0,"",C10/(C10+D10))</f>
        <v>0.818181818181818</v>
      </c>
      <c r="F10" s="50" t="n">
        <v>212</v>
      </c>
    </row>
    <row r="11" customFormat="false" ht="15" hidden="false" customHeight="false" outlineLevel="0" collapsed="false">
      <c r="A11" s="52" t="s">
        <v>440</v>
      </c>
      <c r="B11" s="50" t="n">
        <v>14</v>
      </c>
      <c r="C11" s="50" t="n">
        <v>13</v>
      </c>
      <c r="D11" s="50" t="n">
        <v>1</v>
      </c>
      <c r="E11" s="51" t="n">
        <f aca="false">IF((C11+D11)=0,"",C11/(C11+D11))</f>
        <v>0.928571428571429</v>
      </c>
      <c r="F11" s="50" t="n">
        <v>313</v>
      </c>
    </row>
    <row r="12" customFormat="false" ht="15" hidden="false" customHeight="false" outlineLevel="0" collapsed="false">
      <c r="A12" s="52" t="s">
        <v>441</v>
      </c>
      <c r="B12" s="50" t="n">
        <v>13</v>
      </c>
      <c r="C12" s="50" t="n">
        <v>13</v>
      </c>
      <c r="D12" s="50" t="n">
        <v>0</v>
      </c>
      <c r="E12" s="51" t="n">
        <f aca="false">IF((C12+D12)=0,"",C12/(C12+D12))</f>
        <v>1</v>
      </c>
      <c r="F12" s="50" t="n">
        <v>579</v>
      </c>
    </row>
    <row r="13" customFormat="false" ht="15" hidden="false" customHeight="false" outlineLevel="0" collapsed="false">
      <c r="A13" s="52" t="s">
        <v>442</v>
      </c>
      <c r="B13" s="50" t="n">
        <v>197</v>
      </c>
      <c r="C13" s="50" t="n">
        <v>190</v>
      </c>
      <c r="D13" s="50" t="n">
        <v>7</v>
      </c>
      <c r="E13" s="51" t="n">
        <f aca="false">IF((C13+D13)=0,"",C13/(C13+D13))</f>
        <v>0.964467005076142</v>
      </c>
      <c r="F13" s="50" t="n">
        <v>1345</v>
      </c>
    </row>
    <row r="15" customFormat="false" ht="15" hidden="false" customHeight="false" outlineLevel="0" collapsed="false">
      <c r="A15" s="48" t="s">
        <v>443</v>
      </c>
    </row>
    <row r="16" customFormat="false" ht="23.85" hidden="false" customHeight="false" outlineLevel="0" collapsed="false">
      <c r="A16" s="29" t="s">
        <v>434</v>
      </c>
      <c r="B16" s="29" t="s">
        <v>52</v>
      </c>
      <c r="C16" s="29" t="s">
        <v>210</v>
      </c>
      <c r="D16" s="29" t="s">
        <v>17</v>
      </c>
      <c r="E16" s="29" t="s">
        <v>25</v>
      </c>
      <c r="F16" s="29" t="s">
        <v>388</v>
      </c>
    </row>
    <row r="17" customFormat="false" ht="15" hidden="false" customHeight="false" outlineLevel="0" collapsed="false">
      <c r="A17" s="53" t="s">
        <v>435</v>
      </c>
      <c r="B17" s="54" t="n">
        <v>115</v>
      </c>
      <c r="C17" s="54" t="n">
        <v>93</v>
      </c>
      <c r="D17" s="54" t="n">
        <v>22</v>
      </c>
      <c r="E17" s="55" t="n">
        <f aca="false">IF((C17+D17)=0,"",C17/(C17+D17))</f>
        <v>0.808695652173913</v>
      </c>
      <c r="F17" s="54" t="n">
        <v>998</v>
      </c>
    </row>
    <row r="18" customFormat="false" ht="15" hidden="false" customHeight="false" outlineLevel="0" collapsed="false">
      <c r="A18" s="49" t="s">
        <v>436</v>
      </c>
      <c r="B18" s="50" t="n">
        <v>58</v>
      </c>
      <c r="C18" s="50" t="n">
        <v>41</v>
      </c>
      <c r="D18" s="50" t="n">
        <v>17</v>
      </c>
      <c r="E18" s="51" t="n">
        <f aca="false">IF((C18+D18)=0,"",C18/(C18+D18))</f>
        <v>0.706896551724138</v>
      </c>
      <c r="F18" s="50" t="n">
        <v>344</v>
      </c>
    </row>
    <row r="19" customFormat="false" ht="15" hidden="false" customHeight="false" outlineLevel="0" collapsed="false">
      <c r="A19" s="52" t="s">
        <v>437</v>
      </c>
      <c r="B19" s="50" t="n">
        <v>68</v>
      </c>
      <c r="C19" s="50" t="n">
        <v>50</v>
      </c>
      <c r="D19" s="50" t="n">
        <v>18</v>
      </c>
      <c r="E19" s="51" t="n">
        <f aca="false">IF((C19+D19)=0,"",C19/(C19+D19))</f>
        <v>0.735294117647059</v>
      </c>
      <c r="F19" s="50" t="n">
        <v>589</v>
      </c>
    </row>
    <row r="20" customFormat="false" ht="15" hidden="false" customHeight="false" outlineLevel="0" collapsed="false">
      <c r="A20" s="52" t="s">
        <v>438</v>
      </c>
      <c r="B20" s="50" t="n">
        <v>26</v>
      </c>
      <c r="C20" s="50" t="n">
        <v>18</v>
      </c>
      <c r="D20" s="50" t="n">
        <v>8</v>
      </c>
      <c r="E20" s="51" t="n">
        <f aca="false">IF((C20+D20)=0,"",C20/(C20+D20))</f>
        <v>0.692307692307692</v>
      </c>
      <c r="F20" s="50" t="n">
        <v>205</v>
      </c>
    </row>
    <row r="21" customFormat="false" ht="15" hidden="false" customHeight="false" outlineLevel="0" collapsed="false">
      <c r="A21" s="52" t="s">
        <v>439</v>
      </c>
      <c r="B21" s="50" t="n">
        <v>6</v>
      </c>
      <c r="C21" s="50" t="n">
        <v>5</v>
      </c>
      <c r="D21" s="50" t="n">
        <v>1</v>
      </c>
      <c r="E21" s="51" t="n">
        <f aca="false">IF((C21+D21)=0,"",C21/(C21+D21))</f>
        <v>0.833333333333333</v>
      </c>
      <c r="F21" s="50" t="n">
        <v>3</v>
      </c>
    </row>
    <row r="22" customFormat="false" ht="15" hidden="false" customHeight="false" outlineLevel="0" collapsed="false">
      <c r="A22" s="52" t="s">
        <v>442</v>
      </c>
      <c r="B22" s="50" t="n">
        <v>106</v>
      </c>
      <c r="C22" s="50" t="n">
        <v>102</v>
      </c>
      <c r="D22" s="50" t="n">
        <v>4</v>
      </c>
      <c r="E22" s="51" t="n">
        <f aca="false">IF((C22+D22)=0,"",C22/(C22+D22))</f>
        <v>0.962264150943396</v>
      </c>
      <c r="F22" s="50" t="n">
        <v>251</v>
      </c>
    </row>
    <row r="24" customFormat="false" ht="15" hidden="false" customHeight="false" outlineLevel="0" collapsed="false">
      <c r="A24" s="46"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5" min="5" style="0" width="14"/>
  </cols>
  <sheetData>
    <row r="1" customFormat="false" ht="17.35" hidden="false" customHeight="false" outlineLevel="0" collapsed="false">
      <c r="A1" s="45" t="s">
        <v>445</v>
      </c>
    </row>
    <row r="2" customFormat="false" ht="15" hidden="false" customHeight="false" outlineLevel="0" collapsed="false">
      <c r="A2" s="46" t="s">
        <v>446</v>
      </c>
    </row>
    <row r="4" customFormat="false" ht="15" hidden="false" customHeight="false" outlineLevel="0" collapsed="false">
      <c r="A4" s="48" t="s">
        <v>147</v>
      </c>
    </row>
    <row r="5" customFormat="false" ht="15" hidden="false" customHeight="false" outlineLevel="0" collapsed="false">
      <c r="A5" s="29"/>
      <c r="B5" s="29" t="s">
        <v>52</v>
      </c>
      <c r="C5" s="29" t="s">
        <v>210</v>
      </c>
      <c r="D5" s="29" t="s">
        <v>17</v>
      </c>
      <c r="E5" s="29" t="s">
        <v>25</v>
      </c>
    </row>
    <row r="6" customFormat="false" ht="15" hidden="false" customHeight="false" outlineLevel="0" collapsed="false">
      <c r="A6" s="0" t="s">
        <v>447</v>
      </c>
      <c r="B6" s="50" t="n">
        <v>3517</v>
      </c>
      <c r="C6" s="50" t="n">
        <v>3260</v>
      </c>
      <c r="D6" s="50" t="n">
        <v>257</v>
      </c>
      <c r="E6" s="51" t="n">
        <f aca="false">C6/(C6+D6)</f>
        <v>0.926926357691214</v>
      </c>
    </row>
    <row r="7" customFormat="false" ht="15" hidden="false" customHeight="false" outlineLevel="0" collapsed="false">
      <c r="A7" s="0" t="s">
        <v>448</v>
      </c>
      <c r="B7" s="50" t="n">
        <v>1826</v>
      </c>
      <c r="C7" s="50" t="n">
        <v>1670</v>
      </c>
      <c r="D7" s="50" t="n">
        <v>156</v>
      </c>
      <c r="E7" s="51" t="n">
        <f aca="false">C7/(C7+D7)</f>
        <v>0.914567360350493</v>
      </c>
    </row>
    <row r="9" customFormat="false" ht="15" hidden="false" customHeight="false" outlineLevel="0" collapsed="false">
      <c r="A9" s="48" t="s">
        <v>412</v>
      </c>
    </row>
    <row r="10" customFormat="false" ht="15" hidden="false" customHeight="false" outlineLevel="0" collapsed="false">
      <c r="A10" s="29"/>
      <c r="B10" s="29" t="s">
        <v>52</v>
      </c>
      <c r="C10" s="29" t="s">
        <v>210</v>
      </c>
      <c r="D10" s="29" t="s">
        <v>17</v>
      </c>
      <c r="E10" s="29" t="s">
        <v>25</v>
      </c>
    </row>
    <row r="11" customFormat="false" ht="15" hidden="false" customHeight="false" outlineLevel="0" collapsed="false">
      <c r="A11" s="0" t="s">
        <v>447</v>
      </c>
      <c r="B11" s="50" t="n">
        <v>146</v>
      </c>
      <c r="C11" s="50" t="n">
        <v>112</v>
      </c>
      <c r="D11" s="50" t="n">
        <v>34</v>
      </c>
      <c r="E11" s="51" t="n">
        <f aca="false">C11/(C11+D11)</f>
        <v>0.767123287671233</v>
      </c>
    </row>
    <row r="12" customFormat="false" ht="15" hidden="false" customHeight="false" outlineLevel="0" collapsed="false">
      <c r="A12" s="0" t="s">
        <v>448</v>
      </c>
      <c r="B12" s="50" t="n">
        <v>123</v>
      </c>
      <c r="C12" s="50" t="n">
        <v>91</v>
      </c>
      <c r="D12" s="50" t="n">
        <v>32</v>
      </c>
      <c r="E12" s="51" t="n">
        <f aca="false">C12/(C12+D12)</f>
        <v>0.739837398373984</v>
      </c>
    </row>
    <row r="14" customFormat="false" ht="15" hidden="false" customHeight="false" outlineLevel="0" collapsed="false">
      <c r="A14" s="48" t="s">
        <v>449</v>
      </c>
    </row>
    <row r="15" customFormat="false" ht="15" hidden="false" customHeight="false" outlineLevel="0" collapsed="false">
      <c r="A15" s="29" t="s">
        <v>450</v>
      </c>
      <c r="B15" s="29" t="s">
        <v>52</v>
      </c>
      <c r="C15" s="29" t="s">
        <v>210</v>
      </c>
      <c r="D15" s="29" t="s">
        <v>17</v>
      </c>
      <c r="E15" s="29" t="s">
        <v>25</v>
      </c>
    </row>
    <row r="16" customFormat="false" ht="15" hidden="false" customHeight="false" outlineLevel="0" collapsed="false">
      <c r="A16" s="52" t="s">
        <v>451</v>
      </c>
      <c r="B16" s="50" t="n">
        <v>92</v>
      </c>
      <c r="C16" s="50" t="n">
        <v>74</v>
      </c>
      <c r="D16" s="50" t="n">
        <v>18</v>
      </c>
      <c r="E16" s="51" t="n">
        <f aca="false">C16/(C16+D16)</f>
        <v>0.804347826086957</v>
      </c>
    </row>
    <row r="17" customFormat="false" ht="15" hidden="false" customHeight="false" outlineLevel="0" collapsed="false">
      <c r="A17" s="52" t="s">
        <v>452</v>
      </c>
      <c r="B17" s="50" t="n">
        <v>56</v>
      </c>
      <c r="C17" s="50" t="n">
        <v>39</v>
      </c>
      <c r="D17" s="50" t="n">
        <v>17</v>
      </c>
      <c r="E17" s="51" t="n">
        <f aca="false">C17/(C17+D17)</f>
        <v>0.696428571428571</v>
      </c>
    </row>
    <row r="18" customFormat="false" ht="15" hidden="false" customHeight="false" outlineLevel="0" collapsed="false">
      <c r="A18" s="52" t="s">
        <v>453</v>
      </c>
      <c r="B18" s="50" t="n">
        <v>36</v>
      </c>
      <c r="C18" s="50" t="n">
        <v>25</v>
      </c>
      <c r="D18" s="50" t="n">
        <v>11</v>
      </c>
      <c r="E18" s="51" t="n">
        <f aca="false">C18/(C18+D18)</f>
        <v>0.694444444444444</v>
      </c>
    </row>
    <row r="20" customFormat="false" ht="15" hidden="false" customHeight="false" outlineLevel="0" collapsed="false">
      <c r="A20" s="46"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2026-06-23T07:00:15Z</dcterms:created>
  <dc:creator>openpyxl</dc:creator>
  <dc:description/>
  <dc:language>en-US</dc:language>
  <cp:lastModifiedBy/>
  <dcterms:modified xsi:type="dcterms:W3CDTF">2026-06-23T09:27:32Z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